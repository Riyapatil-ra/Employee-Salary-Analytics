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d.docs.live.net/40bddc4e247e20d5/Desktop/"/>
    </mc:Choice>
  </mc:AlternateContent>
  <xr:revisionPtr revIDLastSave="18" documentId="13_ncr:1_{20F2AE5F-1CF2-4257-9C10-C14D88AF5096}" xr6:coauthVersionLast="47" xr6:coauthVersionMax="47" xr10:uidLastSave="{D347566D-9277-4107-9035-D20C4CAB7C49}"/>
  <bookViews>
    <workbookView xWindow="-110" yWindow="-110" windowWidth="19420" windowHeight="10300" xr2:uid="{331979FC-CACE-4564-8EEB-197A82A16FED}"/>
  </bookViews>
  <sheets>
    <sheet name="Dashboard" sheetId="9" r:id="rId1"/>
    <sheet name="Growth Impact of Each Dept" sheetId="8" r:id="rId2"/>
    <sheet name="Pivot Table" sheetId="10" r:id="rId3"/>
    <sheet name="employee_salary_dataset" sheetId="1" r:id="rId4"/>
  </sheets>
  <definedNames>
    <definedName name="_xlnm._FilterDatabase" localSheetId="3" hidden="1">employee_salary_dataset!$A$4:$T$54</definedName>
    <definedName name="_xlcn.WorksheetConnection_employee_salary_dataset.xlsxTable1" hidden="1">Table1[]</definedName>
    <definedName name="_xlcn.WorksheetConnection_employee_salary_datasetA4T54" hidden="1">employee_salary_dataset!$A$4:$T$54</definedName>
    <definedName name="Slicer_Department1">#N/A</definedName>
    <definedName name="Slicer_Gender">#N/A</definedName>
  </definedNames>
  <calcPr calcId="191028"/>
  <pivotCaches>
    <pivotCache cacheId="0" r:id="rId5"/>
    <pivotCache cacheId="1" r:id="rId6"/>
    <pivotCache cacheId="2" r:id="rId7"/>
    <pivotCache cacheId="3" r:id="rId8"/>
    <pivotCache cacheId="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mployee_salary_dataset.xlsx!Table1"/>
          <x15:modelTable id="Range" name="Range" connection="WorksheetConnection_employee_salary_dataset!$A$4:$T$5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10" l="1"/>
  <c r="B51" i="10"/>
  <c r="B52" i="10"/>
  <c r="B53" i="10"/>
  <c r="B49" i="10"/>
  <c r="K9" i="1"/>
  <c r="Q7" i="1" l="1"/>
  <c r="T7" i="1" s="1"/>
  <c r="Q20" i="1"/>
  <c r="T20" i="1" s="1"/>
  <c r="Q33" i="1"/>
  <c r="T33" i="1" s="1"/>
  <c r="Q38" i="1"/>
  <c r="T38" i="1" s="1"/>
  <c r="Q17" i="1"/>
  <c r="T17" i="1" s="1"/>
  <c r="Q50" i="1"/>
  <c r="T50" i="1" s="1"/>
  <c r="Q39" i="1"/>
  <c r="T39" i="1" s="1"/>
  <c r="Q47" i="1"/>
  <c r="T47" i="1" s="1"/>
  <c r="Q24" i="1"/>
  <c r="T24" i="1" s="1"/>
  <c r="Q52" i="1"/>
  <c r="T52" i="1" s="1"/>
  <c r="Q9" i="1"/>
  <c r="T9" i="1" s="1"/>
  <c r="Q11" i="1"/>
  <c r="T11" i="1" s="1"/>
  <c r="Q53" i="1"/>
  <c r="T53" i="1" s="1"/>
  <c r="Q51" i="1"/>
  <c r="T51" i="1" s="1"/>
  <c r="Q25" i="1"/>
  <c r="T25" i="1" s="1"/>
  <c r="Q5" i="1"/>
  <c r="T5" i="1" s="1"/>
  <c r="Q8" i="1"/>
  <c r="T8" i="1" s="1"/>
  <c r="Q28" i="1"/>
  <c r="T28" i="1" s="1"/>
  <c r="Q16" i="1"/>
  <c r="T16" i="1" s="1"/>
  <c r="Q23" i="1"/>
  <c r="T23" i="1" s="1"/>
  <c r="Q18" i="1"/>
  <c r="T18" i="1" s="1"/>
  <c r="Q10" i="1"/>
  <c r="T10" i="1" s="1"/>
  <c r="Q42" i="1"/>
  <c r="T42" i="1" s="1"/>
  <c r="Q12" i="1"/>
  <c r="T12" i="1" s="1"/>
  <c r="Q30" i="1"/>
  <c r="T30" i="1" s="1"/>
  <c r="Q43" i="1"/>
  <c r="T43" i="1" s="1"/>
  <c r="Q15" i="1"/>
  <c r="T15" i="1" s="1"/>
  <c r="Q34" i="1"/>
  <c r="T34" i="1" s="1"/>
  <c r="Q54" i="1"/>
  <c r="T54" i="1" s="1"/>
  <c r="Q46" i="1"/>
  <c r="T46" i="1" s="1"/>
  <c r="Q40" i="1"/>
  <c r="T40" i="1" s="1"/>
  <c r="Q44" i="1"/>
  <c r="T44" i="1" s="1"/>
  <c r="Q37" i="1"/>
  <c r="T37" i="1" s="1"/>
  <c r="Q26" i="1"/>
  <c r="T26" i="1" s="1"/>
  <c r="Q6" i="1"/>
  <c r="T6" i="1" s="1"/>
  <c r="Q22" i="1"/>
  <c r="T22" i="1" s="1"/>
  <c r="Q31" i="1"/>
  <c r="T31" i="1" s="1"/>
  <c r="Q35" i="1"/>
  <c r="T35" i="1" s="1"/>
  <c r="Q13" i="1"/>
  <c r="T13" i="1" s="1"/>
  <c r="Q19" i="1"/>
  <c r="T19" i="1" s="1"/>
  <c r="Q29" i="1"/>
  <c r="T29" i="1" s="1"/>
  <c r="Q27" i="1"/>
  <c r="T27" i="1" s="1"/>
  <c r="Q32" i="1"/>
  <c r="T32" i="1" s="1"/>
  <c r="Q21" i="1"/>
  <c r="T21" i="1" s="1"/>
  <c r="Q45" i="1"/>
  <c r="T45" i="1" s="1"/>
  <c r="Q48" i="1"/>
  <c r="T48" i="1" s="1"/>
  <c r="Q49" i="1"/>
  <c r="T49" i="1" s="1"/>
  <c r="Q36" i="1"/>
  <c r="T36" i="1" s="1"/>
  <c r="Q41" i="1"/>
  <c r="T41" i="1" s="1"/>
  <c r="Q14" i="1"/>
  <c r="T14" i="1" s="1"/>
  <c r="P7" i="1"/>
  <c r="S7" i="1" s="1"/>
  <c r="P20" i="1"/>
  <c r="S20" i="1" s="1"/>
  <c r="P33" i="1"/>
  <c r="S33" i="1" s="1"/>
  <c r="P38" i="1"/>
  <c r="S38" i="1" s="1"/>
  <c r="P17" i="1"/>
  <c r="S17" i="1" s="1"/>
  <c r="P50" i="1"/>
  <c r="S50" i="1" s="1"/>
  <c r="P39" i="1"/>
  <c r="S39" i="1" s="1"/>
  <c r="P47" i="1"/>
  <c r="S47" i="1" s="1"/>
  <c r="P24" i="1"/>
  <c r="S24" i="1" s="1"/>
  <c r="P52" i="1"/>
  <c r="S52" i="1" s="1"/>
  <c r="P9" i="1"/>
  <c r="S9" i="1" s="1"/>
  <c r="P11" i="1"/>
  <c r="S11" i="1" s="1"/>
  <c r="P53" i="1"/>
  <c r="S53" i="1" s="1"/>
  <c r="P51" i="1"/>
  <c r="S51" i="1" s="1"/>
  <c r="P25" i="1"/>
  <c r="S25" i="1" s="1"/>
  <c r="P5" i="1"/>
  <c r="S5" i="1" s="1"/>
  <c r="P8" i="1"/>
  <c r="S8" i="1" s="1"/>
  <c r="P28" i="1"/>
  <c r="S28" i="1" s="1"/>
  <c r="P16" i="1"/>
  <c r="S16" i="1" s="1"/>
  <c r="P23" i="1"/>
  <c r="S23" i="1" s="1"/>
  <c r="P18" i="1"/>
  <c r="S18" i="1" s="1"/>
  <c r="P10" i="1"/>
  <c r="S10" i="1" s="1"/>
  <c r="P42" i="1"/>
  <c r="S42" i="1" s="1"/>
  <c r="P12" i="1"/>
  <c r="S12" i="1" s="1"/>
  <c r="P30" i="1"/>
  <c r="S30" i="1" s="1"/>
  <c r="P43" i="1"/>
  <c r="S43" i="1" s="1"/>
  <c r="P15" i="1"/>
  <c r="S15" i="1" s="1"/>
  <c r="P34" i="1"/>
  <c r="S34" i="1" s="1"/>
  <c r="P54" i="1"/>
  <c r="S54" i="1" s="1"/>
  <c r="P46" i="1"/>
  <c r="S46" i="1" s="1"/>
  <c r="P40" i="1"/>
  <c r="S40" i="1" s="1"/>
  <c r="P44" i="1"/>
  <c r="S44" i="1" s="1"/>
  <c r="P37" i="1"/>
  <c r="S37" i="1" s="1"/>
  <c r="P26" i="1"/>
  <c r="S26" i="1" s="1"/>
  <c r="P6" i="1"/>
  <c r="S6" i="1" s="1"/>
  <c r="P22" i="1"/>
  <c r="S22" i="1" s="1"/>
  <c r="P31" i="1"/>
  <c r="S31" i="1" s="1"/>
  <c r="P35" i="1"/>
  <c r="S35" i="1" s="1"/>
  <c r="P13" i="1"/>
  <c r="S13" i="1" s="1"/>
  <c r="P19" i="1"/>
  <c r="S19" i="1" s="1"/>
  <c r="P29" i="1"/>
  <c r="S29" i="1" s="1"/>
  <c r="P27" i="1"/>
  <c r="S27" i="1" s="1"/>
  <c r="P32" i="1"/>
  <c r="S32" i="1" s="1"/>
  <c r="P21" i="1"/>
  <c r="S21" i="1" s="1"/>
  <c r="P45" i="1"/>
  <c r="S45" i="1" s="1"/>
  <c r="P48" i="1"/>
  <c r="S48" i="1" s="1"/>
  <c r="P49" i="1"/>
  <c r="S49" i="1" s="1"/>
  <c r="P36" i="1"/>
  <c r="S36" i="1" s="1"/>
  <c r="P41" i="1"/>
  <c r="S41" i="1" s="1"/>
  <c r="P14" i="1"/>
  <c r="S14" i="1" s="1"/>
  <c r="O7" i="1"/>
  <c r="R7" i="1" s="1"/>
  <c r="O20" i="1"/>
  <c r="R20" i="1" s="1"/>
  <c r="O33" i="1"/>
  <c r="R33" i="1" s="1"/>
  <c r="O38" i="1"/>
  <c r="R38" i="1" s="1"/>
  <c r="O17" i="1"/>
  <c r="R17" i="1" s="1"/>
  <c r="O50" i="1"/>
  <c r="R50" i="1" s="1"/>
  <c r="O39" i="1"/>
  <c r="R39" i="1" s="1"/>
  <c r="O47" i="1"/>
  <c r="R47" i="1" s="1"/>
  <c r="O24" i="1"/>
  <c r="R24" i="1" s="1"/>
  <c r="O52" i="1"/>
  <c r="R52" i="1" s="1"/>
  <c r="O9" i="1"/>
  <c r="R9" i="1" s="1"/>
  <c r="O11" i="1"/>
  <c r="R11" i="1" s="1"/>
  <c r="O53" i="1"/>
  <c r="R53" i="1" s="1"/>
  <c r="O51" i="1"/>
  <c r="R51" i="1" s="1"/>
  <c r="O25" i="1"/>
  <c r="R25" i="1" s="1"/>
  <c r="O5" i="1"/>
  <c r="R5" i="1" s="1"/>
  <c r="O8" i="1"/>
  <c r="R8" i="1" s="1"/>
  <c r="O28" i="1"/>
  <c r="R28" i="1" s="1"/>
  <c r="O16" i="1"/>
  <c r="R16" i="1" s="1"/>
  <c r="O23" i="1"/>
  <c r="R23" i="1" s="1"/>
  <c r="O18" i="1"/>
  <c r="R18" i="1" s="1"/>
  <c r="O10" i="1"/>
  <c r="R10" i="1" s="1"/>
  <c r="O42" i="1"/>
  <c r="R42" i="1" s="1"/>
  <c r="O12" i="1"/>
  <c r="R12" i="1" s="1"/>
  <c r="O30" i="1"/>
  <c r="R30" i="1" s="1"/>
  <c r="O43" i="1"/>
  <c r="R43" i="1" s="1"/>
  <c r="O15" i="1"/>
  <c r="R15" i="1" s="1"/>
  <c r="O34" i="1"/>
  <c r="R34" i="1" s="1"/>
  <c r="O54" i="1"/>
  <c r="R54" i="1" s="1"/>
  <c r="O46" i="1"/>
  <c r="R46" i="1" s="1"/>
  <c r="O40" i="1"/>
  <c r="R40" i="1" s="1"/>
  <c r="O44" i="1"/>
  <c r="R44" i="1" s="1"/>
  <c r="O37" i="1"/>
  <c r="R37" i="1" s="1"/>
  <c r="O26" i="1"/>
  <c r="R26" i="1" s="1"/>
  <c r="O6" i="1"/>
  <c r="R6" i="1" s="1"/>
  <c r="O22" i="1"/>
  <c r="R22" i="1" s="1"/>
  <c r="O31" i="1"/>
  <c r="R31" i="1" s="1"/>
  <c r="O35" i="1"/>
  <c r="R35" i="1" s="1"/>
  <c r="O13" i="1"/>
  <c r="R13" i="1" s="1"/>
  <c r="O19" i="1"/>
  <c r="R19" i="1" s="1"/>
  <c r="O29" i="1"/>
  <c r="R29" i="1" s="1"/>
  <c r="O27" i="1"/>
  <c r="R27" i="1" s="1"/>
  <c r="O32" i="1"/>
  <c r="R32" i="1" s="1"/>
  <c r="O21" i="1"/>
  <c r="R21" i="1" s="1"/>
  <c r="O45" i="1"/>
  <c r="R45" i="1" s="1"/>
  <c r="O48" i="1"/>
  <c r="R48" i="1" s="1"/>
  <c r="O49" i="1"/>
  <c r="R49" i="1" s="1"/>
  <c r="O36" i="1"/>
  <c r="R36" i="1" s="1"/>
  <c r="O41" i="1"/>
  <c r="R41" i="1" s="1"/>
  <c r="O14" i="1"/>
  <c r="R14" i="1" s="1"/>
  <c r="Z6" i="1"/>
  <c r="AC11" i="1"/>
  <c r="AC10" i="1"/>
  <c r="AC9" i="1"/>
  <c r="AC8" i="1"/>
  <c r="AC7" i="1"/>
  <c r="AC6" i="1"/>
  <c r="AC5" i="1"/>
  <c r="Z3" i="1"/>
  <c r="Z8" i="1"/>
  <c r="Z7" i="1"/>
  <c r="Z5" i="1"/>
  <c r="Z4" i="1"/>
  <c r="B5" i="9"/>
  <c r="C5" i="9"/>
  <c r="A5" i="9"/>
  <c r="D3" i="8"/>
  <c r="D4" i="8"/>
  <c r="D5" i="8"/>
  <c r="D6" i="8"/>
  <c r="D7" i="8"/>
  <c r="D2" i="8"/>
  <c r="N7" i="1"/>
  <c r="N20" i="1"/>
  <c r="N33" i="1"/>
  <c r="N38" i="1"/>
  <c r="N17" i="1"/>
  <c r="N50" i="1"/>
  <c r="N39" i="1"/>
  <c r="N47" i="1"/>
  <c r="N24" i="1"/>
  <c r="N52" i="1"/>
  <c r="N9" i="1"/>
  <c r="N11" i="1"/>
  <c r="N53" i="1"/>
  <c r="N51" i="1"/>
  <c r="N25" i="1"/>
  <c r="N5" i="1"/>
  <c r="N8" i="1"/>
  <c r="N28" i="1"/>
  <c r="N16" i="1"/>
  <c r="N23" i="1"/>
  <c r="N18" i="1"/>
  <c r="N10" i="1"/>
  <c r="N42" i="1"/>
  <c r="N12" i="1"/>
  <c r="N30" i="1"/>
  <c r="N43" i="1"/>
  <c r="N15" i="1"/>
  <c r="N34" i="1"/>
  <c r="N54" i="1"/>
  <c r="N46" i="1"/>
  <c r="N40" i="1"/>
  <c r="N44" i="1"/>
  <c r="N37" i="1"/>
  <c r="N26" i="1"/>
  <c r="N6" i="1"/>
  <c r="N22" i="1"/>
  <c r="N31" i="1"/>
  <c r="N35" i="1"/>
  <c r="N13" i="1"/>
  <c r="N19" i="1"/>
  <c r="N29" i="1"/>
  <c r="N27" i="1"/>
  <c r="N32" i="1"/>
  <c r="N21" i="1"/>
  <c r="N45" i="1"/>
  <c r="N48" i="1"/>
  <c r="N49" i="1"/>
  <c r="N36" i="1"/>
  <c r="N41" i="1"/>
  <c r="N14" i="1"/>
  <c r="M7" i="1"/>
  <c r="M20" i="1"/>
  <c r="M33" i="1"/>
  <c r="M38" i="1"/>
  <c r="M17" i="1"/>
  <c r="M50" i="1"/>
  <c r="M39" i="1"/>
  <c r="M47" i="1"/>
  <c r="M24" i="1"/>
  <c r="M52" i="1"/>
  <c r="M9" i="1"/>
  <c r="M11" i="1"/>
  <c r="M53" i="1"/>
  <c r="M51" i="1"/>
  <c r="M25" i="1"/>
  <c r="M5" i="1"/>
  <c r="M8" i="1"/>
  <c r="M28" i="1"/>
  <c r="M16" i="1"/>
  <c r="M23" i="1"/>
  <c r="M18" i="1"/>
  <c r="M10" i="1"/>
  <c r="M42" i="1"/>
  <c r="M12" i="1"/>
  <c r="M30" i="1"/>
  <c r="M43" i="1"/>
  <c r="M15" i="1"/>
  <c r="M34" i="1"/>
  <c r="M54" i="1"/>
  <c r="M46" i="1"/>
  <c r="M40" i="1"/>
  <c r="M44" i="1"/>
  <c r="M37" i="1"/>
  <c r="M26" i="1"/>
  <c r="M6" i="1"/>
  <c r="M22" i="1"/>
  <c r="M31" i="1"/>
  <c r="M35" i="1"/>
  <c r="M13" i="1"/>
  <c r="M19" i="1"/>
  <c r="M29" i="1"/>
  <c r="M27" i="1"/>
  <c r="M32" i="1"/>
  <c r="M21" i="1"/>
  <c r="M45" i="1"/>
  <c r="M48" i="1"/>
  <c r="M49" i="1"/>
  <c r="M36" i="1"/>
  <c r="M41" i="1"/>
  <c r="M14" i="1"/>
  <c r="L7" i="1"/>
  <c r="L20" i="1"/>
  <c r="L33" i="1"/>
  <c r="L38" i="1"/>
  <c r="L17" i="1"/>
  <c r="L50" i="1"/>
  <c r="L39" i="1"/>
  <c r="L47" i="1"/>
  <c r="L24" i="1"/>
  <c r="L52" i="1"/>
  <c r="L9" i="1"/>
  <c r="L11" i="1"/>
  <c r="L53" i="1"/>
  <c r="L51" i="1"/>
  <c r="L25" i="1"/>
  <c r="L5" i="1"/>
  <c r="L8" i="1"/>
  <c r="L28" i="1"/>
  <c r="L16" i="1"/>
  <c r="L23" i="1"/>
  <c r="L18" i="1"/>
  <c r="L10" i="1"/>
  <c r="L42" i="1"/>
  <c r="L12" i="1"/>
  <c r="L30" i="1"/>
  <c r="L43" i="1"/>
  <c r="L15" i="1"/>
  <c r="L34" i="1"/>
  <c r="L54" i="1"/>
  <c r="L46" i="1"/>
  <c r="L40" i="1"/>
  <c r="L44" i="1"/>
  <c r="L37" i="1"/>
  <c r="L26" i="1"/>
  <c r="L6" i="1"/>
  <c r="L22" i="1"/>
  <c r="L31" i="1"/>
  <c r="L35" i="1"/>
  <c r="L13" i="1"/>
  <c r="L19" i="1"/>
  <c r="L29" i="1"/>
  <c r="L27" i="1"/>
  <c r="L32" i="1"/>
  <c r="L21" i="1"/>
  <c r="L45" i="1"/>
  <c r="L48" i="1"/>
  <c r="L49" i="1"/>
  <c r="L36" i="1"/>
  <c r="L41" i="1"/>
  <c r="L14" i="1"/>
  <c r="K7" i="1"/>
  <c r="K20" i="1"/>
  <c r="K33" i="1"/>
  <c r="K38" i="1"/>
  <c r="K17" i="1"/>
  <c r="K50" i="1"/>
  <c r="K39" i="1"/>
  <c r="K47" i="1"/>
  <c r="K24" i="1"/>
  <c r="K52" i="1"/>
  <c r="K11" i="1"/>
  <c r="K53" i="1"/>
  <c r="K51" i="1"/>
  <c r="K25" i="1"/>
  <c r="K5" i="1"/>
  <c r="K8" i="1"/>
  <c r="K28" i="1"/>
  <c r="K16" i="1"/>
  <c r="K23" i="1"/>
  <c r="K18" i="1"/>
  <c r="K10" i="1"/>
  <c r="K42" i="1"/>
  <c r="K12" i="1"/>
  <c r="K30" i="1"/>
  <c r="K43" i="1"/>
  <c r="K15" i="1"/>
  <c r="K34" i="1"/>
  <c r="K54" i="1"/>
  <c r="K46" i="1"/>
  <c r="K40" i="1"/>
  <c r="K44" i="1"/>
  <c r="K37" i="1"/>
  <c r="K26" i="1"/>
  <c r="K6" i="1"/>
  <c r="K22" i="1"/>
  <c r="K31" i="1"/>
  <c r="K35" i="1"/>
  <c r="K13" i="1"/>
  <c r="K19" i="1"/>
  <c r="K29" i="1"/>
  <c r="K27" i="1"/>
  <c r="K32" i="1"/>
  <c r="K21" i="1"/>
  <c r="K45" i="1"/>
  <c r="K48" i="1"/>
  <c r="K49" i="1"/>
  <c r="K36" i="1"/>
  <c r="K41" i="1"/>
  <c r="K14" i="1"/>
  <c r="J7" i="1"/>
  <c r="J20" i="1"/>
  <c r="J33" i="1"/>
  <c r="J38" i="1"/>
  <c r="J17" i="1"/>
  <c r="J50" i="1"/>
  <c r="J39" i="1"/>
  <c r="J47" i="1"/>
  <c r="J24" i="1"/>
  <c r="J52" i="1"/>
  <c r="J9" i="1"/>
  <c r="J11" i="1"/>
  <c r="J53" i="1"/>
  <c r="J51" i="1"/>
  <c r="J25" i="1"/>
  <c r="J5" i="1"/>
  <c r="J8" i="1"/>
  <c r="J28" i="1"/>
  <c r="J16" i="1"/>
  <c r="J23" i="1"/>
  <c r="J18" i="1"/>
  <c r="J10" i="1"/>
  <c r="J42" i="1"/>
  <c r="J12" i="1"/>
  <c r="J30" i="1"/>
  <c r="J43" i="1"/>
  <c r="J15" i="1"/>
  <c r="J34" i="1"/>
  <c r="J54" i="1"/>
  <c r="J46" i="1"/>
  <c r="J40" i="1"/>
  <c r="J44" i="1"/>
  <c r="J37" i="1"/>
  <c r="J26" i="1"/>
  <c r="J6" i="1"/>
  <c r="J22" i="1"/>
  <c r="J31" i="1"/>
  <c r="J35" i="1"/>
  <c r="J13" i="1"/>
  <c r="J19" i="1"/>
  <c r="J29" i="1"/>
  <c r="J27" i="1"/>
  <c r="J32" i="1"/>
  <c r="J21" i="1"/>
  <c r="J45" i="1"/>
  <c r="J48" i="1"/>
  <c r="J49" i="1"/>
  <c r="J36" i="1"/>
  <c r="J41" i="1"/>
  <c r="J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RIYA</author>
  </authors>
  <commentList>
    <comment ref="AC4" authorId="0" shapeId="0" xr:uid="{06F8AF9F-2B54-4BE9-A342-282AF686E0E5}">
      <text>
        <r>
          <rPr>
            <b/>
            <sz val="9"/>
            <color indexed="81"/>
            <rFont val="Tahoma"/>
            <charset val="1"/>
          </rPr>
          <t>RIYA:</t>
        </r>
        <r>
          <rPr>
            <sz val="9"/>
            <color indexed="81"/>
            <rFont val="Tahoma"/>
            <charset val="1"/>
          </rPr>
          <t xml:space="preserve">
Select Employee Id to view Employee details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6228A8-76C0-4F4D-922F-02E32375E656}"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0DD117E0-15C2-4F0E-A205-65C6255A112F}" name="WorksheetConnection_employee_salary_dataset!$A$4:$T$54" type="102" refreshedVersion="8" minRefreshableVersion="5">
    <extLst>
      <ext xmlns:x15="http://schemas.microsoft.com/office/spreadsheetml/2010/11/main" uri="{DE250136-89BD-433C-8126-D09CA5730AF9}">
        <x15:connection id="Range" autoDelete="1">
          <x15:rangePr sourceName="_xlcn.WorksheetConnection_employee_salary_datasetA4T54"/>
        </x15:connection>
      </ext>
    </extLst>
  </connection>
  <connection id="3" xr16:uid="{E4919343-5F8C-4510-8A45-F6E15638D387}" name="WorksheetConnection_employee_salary_dataset.xlsx!Table1" type="102" refreshedVersion="8" minRefreshableVersion="5">
    <extLst>
      <ext xmlns:x15="http://schemas.microsoft.com/office/spreadsheetml/2010/11/main" uri="{DE250136-89BD-433C-8126-D09CA5730AF9}">
        <x15:connection id="Table1">
          <x15:rangePr sourceName="_xlcn.WorksheetConnection_employee_salary_dataset.xlsxTable1"/>
        </x15:connection>
      </ext>
    </extLst>
  </connection>
</connections>
</file>

<file path=xl/sharedStrings.xml><?xml version="1.0" encoding="utf-8"?>
<sst xmlns="http://schemas.openxmlformats.org/spreadsheetml/2006/main" count="378" uniqueCount="126">
  <si>
    <t>Employee Salary Dashboard</t>
  </si>
  <si>
    <t>Total Employees</t>
  </si>
  <si>
    <t>Avg Monthly Salary</t>
  </si>
  <si>
    <t>Max Monthly Salary</t>
  </si>
  <si>
    <t>Departments</t>
  </si>
  <si>
    <t>Highest Salary</t>
  </si>
  <si>
    <t>Count of EmployeeID</t>
  </si>
  <si>
    <t>Average of Salary</t>
  </si>
  <si>
    <t>Sum of Salary</t>
  </si>
  <si>
    <t>Marketing</t>
  </si>
  <si>
    <t>Operations</t>
  </si>
  <si>
    <t>HR</t>
  </si>
  <si>
    <t>IT</t>
  </si>
  <si>
    <t>Finance</t>
  </si>
  <si>
    <t>Grand Total</t>
  </si>
  <si>
    <t>Sum of Monthly_Salary</t>
  </si>
  <si>
    <t>Sum of Salary After Increment</t>
  </si>
  <si>
    <t>Growth Impact On Each Dept</t>
  </si>
  <si>
    <t>Average of Monthly_Salary</t>
  </si>
  <si>
    <t>Experience level</t>
  </si>
  <si>
    <t>Education</t>
  </si>
  <si>
    <t>High</t>
  </si>
  <si>
    <t>Low</t>
  </si>
  <si>
    <t>Medium</t>
  </si>
  <si>
    <t>Bachelor</t>
  </si>
  <si>
    <t>High School</t>
  </si>
  <si>
    <t>Master</t>
  </si>
  <si>
    <t>PhD</t>
  </si>
  <si>
    <t>Experience Years</t>
  </si>
  <si>
    <t>Employee Salary Information</t>
  </si>
  <si>
    <t>Control cell of M</t>
  </si>
  <si>
    <t>Hike %</t>
  </si>
  <si>
    <t>Key Metrics</t>
  </si>
  <si>
    <t>Employee Drill-Down</t>
  </si>
  <si>
    <t>Total Employee</t>
  </si>
  <si>
    <t>EmployeeID</t>
  </si>
  <si>
    <t>Name</t>
  </si>
  <si>
    <t>Department</t>
  </si>
  <si>
    <t>Experience_Years</t>
  </si>
  <si>
    <t>Education_Level</t>
  </si>
  <si>
    <t>Age</t>
  </si>
  <si>
    <t>Gender</t>
  </si>
  <si>
    <t>City</t>
  </si>
  <si>
    <t>Monthly_Salary</t>
  </si>
  <si>
    <t>Sales Category</t>
  </si>
  <si>
    <t>Employee &gt; 5 years</t>
  </si>
  <si>
    <t>Eligible for Bonus (Yes or No)</t>
  </si>
  <si>
    <t>Salary After 10% Increament</t>
  </si>
  <si>
    <t>Salary After Increment</t>
  </si>
  <si>
    <t>Education_Level_Score</t>
  </si>
  <si>
    <t>Experience_Level</t>
  </si>
  <si>
    <t>Salary Level</t>
  </si>
  <si>
    <t>Education_level_text</t>
  </si>
  <si>
    <t>Experience_level_text</t>
  </si>
  <si>
    <t>Salary_level_text</t>
  </si>
  <si>
    <t>Maximum Salary of Employee</t>
  </si>
  <si>
    <t>Emp_ID</t>
  </si>
  <si>
    <t>Employee_49</t>
  </si>
  <si>
    <t>Female</t>
  </si>
  <si>
    <t>Hyderabad</t>
  </si>
  <si>
    <t>Minimum Salary of Employee</t>
  </si>
  <si>
    <t>Employee_14</t>
  </si>
  <si>
    <t>Male</t>
  </si>
  <si>
    <t>Delhi</t>
  </si>
  <si>
    <t>Average Experience(years)</t>
  </si>
  <si>
    <t xml:space="preserve"> Base Salary </t>
  </si>
  <si>
    <t>Employee_26</t>
  </si>
  <si>
    <t>Count Salary&gt; Avg Salary of Employees</t>
  </si>
  <si>
    <t>Employee_17</t>
  </si>
  <si>
    <t>Count Employees Earning more than 50,000</t>
  </si>
  <si>
    <t>Employee_10</t>
  </si>
  <si>
    <t>Mumbai</t>
  </si>
  <si>
    <t>Employee_9</t>
  </si>
  <si>
    <t>Education Level</t>
  </si>
  <si>
    <t>Employee_39</t>
  </si>
  <si>
    <t>city</t>
  </si>
  <si>
    <t>Employee_48</t>
  </si>
  <si>
    <t>Chennai</t>
  </si>
  <si>
    <t>Employee_18</t>
  </si>
  <si>
    <t>Employee_8</t>
  </si>
  <si>
    <t>Bangalore</t>
  </si>
  <si>
    <t>Employee_19</t>
  </si>
  <si>
    <t>Employee_45</t>
  </si>
  <si>
    <t>Employee_47</t>
  </si>
  <si>
    <t>Employee_42</t>
  </si>
  <si>
    <t>Employee_24</t>
  </si>
  <si>
    <t>Employee_29</t>
  </si>
  <si>
    <t>Employee_6</t>
  </si>
  <si>
    <t>Employee_40</t>
  </si>
  <si>
    <t>Employee_43</t>
  </si>
  <si>
    <t>Employee_3</t>
  </si>
  <si>
    <t>Employee_7</t>
  </si>
  <si>
    <t>Employee_31</t>
  </si>
  <si>
    <t>Employee_44</t>
  </si>
  <si>
    <t>Employee_13</t>
  </si>
  <si>
    <t>Employee_21</t>
  </si>
  <si>
    <t>Employee_20</t>
  </si>
  <si>
    <t>Employee_22</t>
  </si>
  <si>
    <t>Employee_37</t>
  </si>
  <si>
    <t>Employee_32</t>
  </si>
  <si>
    <t>Employee_46</t>
  </si>
  <si>
    <t>Employee_4</t>
  </si>
  <si>
    <t>Employee_2</t>
  </si>
  <si>
    <t>Employee_36</t>
  </si>
  <si>
    <t>Employee_15</t>
  </si>
  <si>
    <t>Employee_30</t>
  </si>
  <si>
    <t>Employee_16</t>
  </si>
  <si>
    <t>Employee_12</t>
  </si>
  <si>
    <t>Employee_41</t>
  </si>
  <si>
    <t>Employee_1</t>
  </si>
  <si>
    <t>Employee_28</t>
  </si>
  <si>
    <t>Employee_27</t>
  </si>
  <si>
    <t>Employee_50</t>
  </si>
  <si>
    <t>Employee_23</t>
  </si>
  <si>
    <t>Employee_33</t>
  </si>
  <si>
    <t>Employee_35</t>
  </si>
  <si>
    <t>Employee_5</t>
  </si>
  <si>
    <t>Employee_25</t>
  </si>
  <si>
    <t>Employee_34</t>
  </si>
  <si>
    <t>Employee_11</t>
  </si>
  <si>
    <t>Employee_38</t>
  </si>
  <si>
    <t>Max Salary</t>
  </si>
  <si>
    <t>Min Salary</t>
  </si>
  <si>
    <t>Salary Gap</t>
  </si>
  <si>
    <t>Education vs Experience-Salary Heatmap</t>
  </si>
  <si>
    <t>Avg Salary Increase(Low→Medium)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</si>
</sst>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_ [$₹-4009]\ * #,##0.00_ ;_ [$₹-4009]\ * \-#,##0.00_ ;_ [$₹-4009]\ * &quot;-&quot;??_ ;_ @_ "/>
    <numFmt numFmtId="165" formatCode="[$₹-4009]\ #,##0.00"/>
    <numFmt numFmtId="166" formatCode="[$₹-4009]\ #,##0.00;[$₹-4009]\ \-#,##0.00"/>
    <numFmt numFmtId="167" formatCode="[$₹-4009]\ #,##0"/>
    <numFmt numFmtId="168" formatCode="[$₹-4009]\ #,##0;[$₹-4009]\ \-#,##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b/>
      <sz val="18"/>
      <color rgb="FF00B050"/>
      <name val="Calibri"/>
      <family val="2"/>
      <scheme val="minor"/>
    </font>
    <font>
      <sz val="12"/>
      <color theme="1"/>
      <name val="Calibri"/>
      <family val="2"/>
      <scheme val="minor"/>
    </font>
    <font>
      <b/>
      <sz val="26"/>
      <color theme="1"/>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b/>
      <sz val="24"/>
      <color theme="1"/>
      <name val="Calibri"/>
      <family val="2"/>
      <scheme val="minor"/>
    </font>
    <font>
      <sz val="9"/>
      <color indexed="81"/>
      <name val="Tahoma"/>
      <charset val="1"/>
    </font>
    <font>
      <b/>
      <sz val="9"/>
      <color indexed="81"/>
      <name val="Tahoma"/>
      <charset val="1"/>
    </font>
    <font>
      <sz val="8"/>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CC"/>
        <bgColor indexed="64"/>
      </patternFill>
    </fill>
    <fill>
      <patternFill patternType="solid">
        <fgColor theme="4" tint="0.59999389629810485"/>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84">
    <xf numFmtId="0" fontId="0" fillId="0" borderId="0" xfId="0"/>
    <xf numFmtId="0" fontId="0" fillId="0" borderId="0" xfId="0" applyAlignment="1">
      <alignment horizontal="center"/>
    </xf>
    <xf numFmtId="0" fontId="0" fillId="0" borderId="10" xfId="0" applyBorder="1" applyAlignment="1">
      <alignment horizontal="center"/>
    </xf>
    <xf numFmtId="0" fontId="0" fillId="0" borderId="10" xfId="0" applyBorder="1"/>
    <xf numFmtId="0" fontId="16" fillId="33" borderId="10" xfId="0" applyFont="1" applyFill="1" applyBorder="1" applyAlignment="1">
      <alignment horizontal="center"/>
    </xf>
    <xf numFmtId="0" fontId="16" fillId="33" borderId="10" xfId="0" applyFont="1" applyFill="1" applyBorder="1"/>
    <xf numFmtId="0" fontId="16" fillId="0" borderId="0" xfId="0" applyFont="1" applyAlignment="1">
      <alignment horizontal="center"/>
    </xf>
    <xf numFmtId="0" fontId="18" fillId="0" borderId="0" xfId="0" applyFont="1"/>
    <xf numFmtId="0" fontId="18" fillId="0" borderId="0" xfId="0" applyFont="1" applyAlignment="1">
      <alignment horizontal="center"/>
    </xf>
    <xf numFmtId="9" fontId="0" fillId="0" borderId="13" xfId="0" applyNumberFormat="1" applyBorder="1"/>
    <xf numFmtId="0" fontId="0" fillId="0" borderId="10" xfId="0" applyBorder="1" applyAlignment="1">
      <alignment horizontal="left"/>
    </xf>
    <xf numFmtId="0" fontId="20" fillId="0" borderId="0" xfId="0" applyFont="1" applyAlignment="1">
      <alignment horizontal="center"/>
    </xf>
    <xf numFmtId="0" fontId="21" fillId="0" borderId="0" xfId="0" applyFont="1" applyAlignment="1">
      <alignment horizontal="center"/>
    </xf>
    <xf numFmtId="0" fontId="0" fillId="0" borderId="10" xfId="0" pivotButton="1" applyBorder="1"/>
    <xf numFmtId="0" fontId="0" fillId="0" borderId="0" xfId="0" applyAlignment="1">
      <alignment horizontal="left"/>
    </xf>
    <xf numFmtId="0" fontId="0" fillId="0" borderId="10" xfId="0" pivotButton="1" applyBorder="1" applyAlignment="1">
      <alignment horizontal="center"/>
    </xf>
    <xf numFmtId="0" fontId="22" fillId="0" borderId="19" xfId="0" applyFont="1" applyBorder="1" applyAlignment="1">
      <alignment horizontal="left"/>
    </xf>
    <xf numFmtId="0" fontId="22" fillId="0" borderId="21" xfId="0" applyFont="1" applyBorder="1" applyAlignment="1">
      <alignment horizontal="left"/>
    </xf>
    <xf numFmtId="164" fontId="16" fillId="33" borderId="10" xfId="0" applyNumberFormat="1" applyFont="1" applyFill="1" applyBorder="1" applyAlignment="1">
      <alignment horizontal="center"/>
    </xf>
    <xf numFmtId="164" fontId="0" fillId="0" borderId="10" xfId="0" applyNumberFormat="1" applyBorder="1" applyAlignment="1">
      <alignment horizontal="center"/>
    </xf>
    <xf numFmtId="164" fontId="16" fillId="33" borderId="10" xfId="0" applyNumberFormat="1" applyFont="1" applyFill="1" applyBorder="1"/>
    <xf numFmtId="164" fontId="16" fillId="33" borderId="16" xfId="0" applyNumberFormat="1" applyFont="1" applyFill="1" applyBorder="1"/>
    <xf numFmtId="164" fontId="16" fillId="35" borderId="11" xfId="42" applyNumberFormat="1" applyFont="1" applyFill="1" applyBorder="1"/>
    <xf numFmtId="0" fontId="0" fillId="0" borderId="10" xfId="0" pivotButton="1" applyBorder="1" applyAlignment="1">
      <alignment horizontal="left"/>
    </xf>
    <xf numFmtId="164" fontId="0" fillId="0" borderId="10" xfId="0" applyNumberFormat="1" applyBorder="1" applyAlignment="1">
      <alignment horizontal="left"/>
    </xf>
    <xf numFmtId="0" fontId="23" fillId="38" borderId="20" xfId="0" applyFont="1" applyFill="1" applyBorder="1" applyAlignment="1">
      <alignment horizontal="left"/>
    </xf>
    <xf numFmtId="0" fontId="23" fillId="38" borderId="22" xfId="0" applyFont="1" applyFill="1" applyBorder="1" applyAlignment="1">
      <alignment horizontal="left"/>
    </xf>
    <xf numFmtId="1" fontId="23" fillId="38" borderId="20" xfId="0" applyNumberFormat="1" applyFont="1" applyFill="1" applyBorder="1" applyAlignment="1">
      <alignment horizontal="left"/>
    </xf>
    <xf numFmtId="0" fontId="0" fillId="38" borderId="14" xfId="0" applyFill="1" applyBorder="1"/>
    <xf numFmtId="0" fontId="22" fillId="39" borderId="19" xfId="0" applyFont="1" applyFill="1" applyBorder="1" applyAlignment="1">
      <alignment horizontal="left"/>
    </xf>
    <xf numFmtId="1" fontId="0" fillId="0" borderId="10" xfId="0" applyNumberFormat="1" applyBorder="1" applyAlignment="1">
      <alignment horizontal="center"/>
    </xf>
    <xf numFmtId="165" fontId="0" fillId="0" borderId="10" xfId="0" applyNumberFormat="1" applyBorder="1" applyAlignment="1">
      <alignment horizontal="center"/>
    </xf>
    <xf numFmtId="165" fontId="0" fillId="0" borderId="15" xfId="0" applyNumberFormat="1" applyBorder="1" applyAlignment="1">
      <alignment horizontal="center"/>
    </xf>
    <xf numFmtId="165" fontId="23" fillId="38" borderId="20" xfId="0" applyNumberFormat="1" applyFont="1" applyFill="1" applyBorder="1" applyAlignment="1">
      <alignment horizontal="left"/>
    </xf>
    <xf numFmtId="164" fontId="0" fillId="0" borderId="10" xfId="0" applyNumberFormat="1" applyBorder="1"/>
    <xf numFmtId="165" fontId="0" fillId="0" borderId="10" xfId="0" applyNumberFormat="1" applyBorder="1"/>
    <xf numFmtId="166" fontId="0" fillId="0" borderId="10" xfId="0" applyNumberFormat="1" applyBorder="1" applyAlignment="1">
      <alignment horizontal="left"/>
    </xf>
    <xf numFmtId="165" fontId="21" fillId="0" borderId="0" xfId="42" applyNumberFormat="1" applyFont="1" applyAlignment="1">
      <alignment horizontal="center"/>
    </xf>
    <xf numFmtId="165" fontId="21" fillId="0" borderId="0" xfId="42" applyNumberFormat="1" applyFont="1" applyBorder="1" applyAlignment="1">
      <alignment horizontal="center"/>
    </xf>
    <xf numFmtId="166" fontId="21" fillId="0" borderId="0" xfId="0" applyNumberFormat="1" applyFont="1" applyAlignment="1">
      <alignment horizontal="center"/>
    </xf>
    <xf numFmtId="0" fontId="16" fillId="35" borderId="10" xfId="0" applyFont="1" applyFill="1" applyBorder="1" applyAlignment="1">
      <alignment horizontal="center"/>
    </xf>
    <xf numFmtId="167" fontId="0" fillId="0" borderId="10" xfId="0" applyNumberFormat="1" applyBorder="1" applyAlignment="1">
      <alignment horizontal="center"/>
    </xf>
    <xf numFmtId="167" fontId="0" fillId="0" borderId="10" xfId="0" applyNumberFormat="1" applyBorder="1"/>
    <xf numFmtId="0" fontId="16" fillId="35" borderId="10" xfId="0" applyFont="1" applyFill="1" applyBorder="1" applyAlignment="1">
      <alignment horizontal="left"/>
    </xf>
    <xf numFmtId="168" fontId="0" fillId="0" borderId="10" xfId="0" applyNumberFormat="1" applyBorder="1" applyAlignment="1">
      <alignment horizontal="center"/>
    </xf>
    <xf numFmtId="0" fontId="0" fillId="0" borderId="19" xfId="0" pivotButton="1" applyBorder="1"/>
    <xf numFmtId="0" fontId="0" fillId="0" borderId="20" xfId="0" applyBorder="1"/>
    <xf numFmtId="0" fontId="0" fillId="0" borderId="19" xfId="0" applyBorder="1" applyAlignment="1">
      <alignment horizontal="left"/>
    </xf>
    <xf numFmtId="167" fontId="0" fillId="0" borderId="20" xfId="0" applyNumberFormat="1" applyBorder="1" applyAlignment="1">
      <alignment horizontal="center"/>
    </xf>
    <xf numFmtId="0" fontId="0" fillId="0" borderId="21" xfId="0" applyBorder="1" applyAlignment="1">
      <alignment horizontal="left"/>
    </xf>
    <xf numFmtId="167" fontId="0" fillId="0" borderId="29" xfId="0" applyNumberFormat="1" applyBorder="1" applyAlignment="1">
      <alignment horizontal="center"/>
    </xf>
    <xf numFmtId="167" fontId="0" fillId="0" borderId="22" xfId="0" applyNumberFormat="1" applyBorder="1" applyAlignment="1">
      <alignment horizontal="center"/>
    </xf>
    <xf numFmtId="0" fontId="0" fillId="0" borderId="30" xfId="0" pivotButton="1" applyBorder="1"/>
    <xf numFmtId="0" fontId="0" fillId="0" borderId="11" xfId="0" pivotButton="1" applyBorder="1"/>
    <xf numFmtId="0" fontId="0" fillId="0" borderId="11" xfId="0" applyBorder="1"/>
    <xf numFmtId="0" fontId="0" fillId="0" borderId="31" xfId="0" applyBorder="1"/>
    <xf numFmtId="168" fontId="0" fillId="0" borderId="10" xfId="0" applyNumberFormat="1" applyBorder="1"/>
    <xf numFmtId="168" fontId="0" fillId="0" borderId="10" xfId="42" applyNumberFormat="1" applyFont="1" applyBorder="1"/>
    <xf numFmtId="168" fontId="16" fillId="35" borderId="10" xfId="42" applyNumberFormat="1" applyFont="1" applyFill="1" applyBorder="1"/>
    <xf numFmtId="1" fontId="0" fillId="0" borderId="15" xfId="0" applyNumberFormat="1" applyBorder="1" applyAlignment="1">
      <alignment horizontal="center"/>
    </xf>
    <xf numFmtId="0" fontId="19" fillId="34" borderId="0" xfId="0" applyFont="1" applyFill="1" applyAlignment="1">
      <alignment horizontal="center" vertical="center"/>
    </xf>
    <xf numFmtId="0" fontId="16" fillId="34" borderId="0" xfId="0" applyFont="1" applyFill="1"/>
    <xf numFmtId="0" fontId="16" fillId="40" borderId="32" xfId="0" applyFont="1" applyFill="1" applyBorder="1" applyAlignment="1">
      <alignment horizontal="center"/>
    </xf>
    <xf numFmtId="0" fontId="0" fillId="40" borderId="33" xfId="0" applyFill="1" applyBorder="1" applyAlignment="1">
      <alignment horizontal="center"/>
    </xf>
    <xf numFmtId="0" fontId="0" fillId="40" borderId="12" xfId="0" applyFill="1" applyBorder="1" applyAlignment="1">
      <alignment horizontal="center"/>
    </xf>
    <xf numFmtId="0" fontId="25" fillId="36" borderId="23" xfId="0" applyFont="1" applyFill="1" applyBorder="1" applyAlignment="1">
      <alignment horizontal="center" vertical="center"/>
    </xf>
    <xf numFmtId="0" fontId="25" fillId="36" borderId="24" xfId="0" applyFont="1" applyFill="1" applyBorder="1" applyAlignment="1">
      <alignment horizontal="center" vertical="center"/>
    </xf>
    <xf numFmtId="0" fontId="25" fillId="36" borderId="25" xfId="0" applyFont="1" applyFill="1" applyBorder="1" applyAlignment="1">
      <alignment horizontal="center" vertical="center"/>
    </xf>
    <xf numFmtId="0" fontId="25" fillId="36" borderId="26" xfId="0" applyFont="1" applyFill="1" applyBorder="1" applyAlignment="1">
      <alignment horizontal="center" vertical="center"/>
    </xf>
    <xf numFmtId="0" fontId="25" fillId="36" borderId="27" xfId="0" applyFont="1" applyFill="1" applyBorder="1" applyAlignment="1">
      <alignment horizontal="center" vertical="center"/>
    </xf>
    <xf numFmtId="0" fontId="25" fillId="36" borderId="28" xfId="0" applyFont="1" applyFill="1" applyBorder="1" applyAlignment="1">
      <alignment horizontal="center" vertical="center"/>
    </xf>
    <xf numFmtId="0" fontId="16" fillId="40" borderId="34" xfId="0" applyFont="1" applyFill="1" applyBorder="1" applyAlignment="1">
      <alignment horizontal="center"/>
    </xf>
    <xf numFmtId="0" fontId="16" fillId="40" borderId="35" xfId="0" applyFont="1" applyFill="1" applyBorder="1" applyAlignment="1">
      <alignment horizontal="center"/>
    </xf>
    <xf numFmtId="0" fontId="16" fillId="40" borderId="36" xfId="0" applyFont="1" applyFill="1" applyBorder="1" applyAlignment="1">
      <alignment horizontal="center"/>
    </xf>
    <xf numFmtId="0" fontId="0" fillId="37" borderId="35" xfId="0" applyFill="1" applyBorder="1" applyAlignment="1">
      <alignment horizontal="center" vertical="center"/>
    </xf>
    <xf numFmtId="0" fontId="0" fillId="37" borderId="36" xfId="0" applyFill="1" applyBorder="1" applyAlignment="1">
      <alignment horizontal="center" vertical="center"/>
    </xf>
    <xf numFmtId="0" fontId="24" fillId="37" borderId="17" xfId="0" applyFont="1" applyFill="1" applyBorder="1" applyAlignment="1">
      <alignment horizontal="center" vertical="center"/>
    </xf>
    <xf numFmtId="0" fontId="24" fillId="37" borderId="18" xfId="0" applyFont="1" applyFill="1" applyBorder="1" applyAlignment="1">
      <alignment horizontal="center" vertical="center"/>
    </xf>
    <xf numFmtId="0" fontId="24" fillId="37" borderId="19" xfId="0" applyFont="1" applyFill="1" applyBorder="1" applyAlignment="1">
      <alignment horizontal="center" vertical="center"/>
    </xf>
    <xf numFmtId="0" fontId="24" fillId="37" borderId="20" xfId="0" applyFont="1" applyFill="1" applyBorder="1" applyAlignment="1">
      <alignment horizontal="center" vertical="center"/>
    </xf>
    <xf numFmtId="0" fontId="19" fillId="33" borderId="23" xfId="0" applyFont="1" applyFill="1" applyBorder="1" applyAlignment="1">
      <alignment horizontal="center" vertical="center"/>
    </xf>
    <xf numFmtId="0" fontId="19" fillId="33" borderId="24" xfId="0" applyFont="1" applyFill="1" applyBorder="1" applyAlignment="1">
      <alignment horizontal="center" vertical="center"/>
    </xf>
    <xf numFmtId="0" fontId="19" fillId="33" borderId="26" xfId="0" applyFont="1" applyFill="1" applyBorder="1" applyAlignment="1">
      <alignment horizontal="center" vertical="center"/>
    </xf>
    <xf numFmtId="0" fontId="19" fillId="33" borderId="27"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8">
    <dxf>
      <font>
        <color rgb="FFFF2DFF"/>
      </font>
    </dxf>
    <dxf>
      <font>
        <color rgb="FF9C0006"/>
      </font>
      <fill>
        <patternFill>
          <bgColor rgb="FFFFC7CE"/>
        </patternFill>
      </fill>
    </dxf>
    <dxf>
      <font>
        <color rgb="FF00B050"/>
      </font>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4009]\ #,##0"/>
    </dxf>
    <dxf>
      <numFmt numFmtId="167" formatCode="[$₹-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168" formatCode="[$₹-4009]\ #,##0;[$₹-4009]\ \-#,##0"/>
    </dxf>
    <dxf>
      <numFmt numFmtId="164" formatCode="_ [$₹-4009]\ * #,##0.00_ ;_ [$₹-4009]\ * \-#,##0.00_ ;_ [$₹-4009]\ * &quot;-&quot;??_ ;_ @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09]\ #,##0;[$₹-4009]\ \-#,##0"/>
    </dxf>
    <dxf>
      <numFmt numFmtId="164" formatCode="_ [$₹-4009]\ * #,##0.00_ ;_ [$₹-4009]\ * \-#,##0.00_ ;_ [$₹-4009]\ * &quot;-&quot;??_ ;_ @_ "/>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67" formatCode="[$₹-4009]\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09]\ #,##0;[$₹-4009]\ \-#,##0"/>
    </dxf>
    <dxf>
      <numFmt numFmtId="164"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26"/>
        <color theme="1"/>
        <name val="Calibri"/>
        <family val="2"/>
        <scheme val="minor"/>
      </font>
      <numFmt numFmtId="165" formatCode="[$₹-4009]\ #,##0.00"/>
      <alignment horizontal="center" vertical="bottom" textRotation="0" wrapText="0" indent="0" justifyLastLine="0" shrinkToFit="0" readingOrder="0"/>
    </dxf>
    <dxf>
      <font>
        <b/>
        <i val="0"/>
        <strike val="0"/>
        <outline val="0"/>
        <shadow val="0"/>
        <u val="none"/>
        <vertAlign val="baseline"/>
        <sz val="26"/>
        <color theme="1"/>
        <name val="Calibri"/>
        <family val="2"/>
        <scheme val="minor"/>
      </font>
      <numFmt numFmtId="165" formatCode="[$₹-4009]\ #,##0.00"/>
      <alignment horizontal="center" vertical="bottom" textRotation="0" wrapText="0" indent="0" justifyLastLine="0" shrinkToFit="0" readingOrder="0"/>
    </dxf>
    <dxf>
      <font>
        <b/>
        <strike val="0"/>
        <outline val="0"/>
        <shadow val="0"/>
        <u val="none"/>
        <vertAlign val="baseline"/>
        <sz val="26"/>
        <color theme="1"/>
        <name val="Calibri"/>
        <family val="2"/>
        <scheme val="minor"/>
      </font>
      <numFmt numFmtId="166" formatCode="[$₹-4009]\ #,##0.00;[$₹-4009]\ \-#,##0.00"/>
      <alignment horizontal="center" vertical="bottom" textRotation="0" wrapText="0" indent="0" justifyLastLine="0" shrinkToFit="0" readingOrder="0"/>
    </dxf>
    <dxf>
      <font>
        <b/>
        <strike val="0"/>
        <outline val="0"/>
        <shadow val="0"/>
        <u val="none"/>
        <vertAlign val="baseline"/>
        <sz val="26"/>
        <color theme="1"/>
        <name val="Calibri"/>
        <family val="2"/>
        <scheme val="minor"/>
      </font>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67" formatCode="[$₹-4009]\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66" formatCode="[$₹-4009]\ #,##0.00;[$₹-4009]\ \-#,##0.00"/>
    </dxf>
    <dxf>
      <numFmt numFmtId="166" formatCode="[$₹-4009]\ #,##0.00;[$₹-4009]\ \-#,##0.00"/>
    </dxf>
    <dxf>
      <numFmt numFmtId="166" formatCode="[$₹-4009]\ #,##0.00;[$₹-4009]\ \-#,##0.00"/>
    </dxf>
    <dxf>
      <numFmt numFmtId="166" formatCode="[$₹-4009]\ #,##0.00;[$₹-4009]\ \-#,##0.00"/>
    </dxf>
    <dxf>
      <numFmt numFmtId="166" formatCode="[$₹-4009]\ #,##0.00;[$₹-4009]\ \-#,##0.00"/>
    </dxf>
    <dxf>
      <alignment horizontal="center"/>
    </dxf>
    <dxf>
      <alignment horizontal="center"/>
    </dxf>
    <dxf>
      <alignment horizontal="left"/>
    </dxf>
    <dxf>
      <alignment horizontal="left"/>
    </dxf>
    <dxf>
      <alignment horizontal="left"/>
    </dxf>
    <dxf>
      <alignment horizontal="left"/>
    </dxf>
    <dxf>
      <alignment horizontal="left"/>
    </dxf>
    <dxf>
      <alignment horizontal="left"/>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7030A0"/>
      </font>
    </dxf>
  </dxfs>
  <tableStyles count="1" defaultTableStyle="TableStyleMedium2" defaultPivotStyle="PivotStyleLight16">
    <tableStyle name="PivotTable Style 1" table="0" count="1" xr9:uid="{6B611D5B-B62C-428F-BF94-B34B70285E00}">
      <tableStyleElement type="wholeTable" dxfId="147"/>
    </tableStyle>
  </tableStyles>
  <colors>
    <mruColors>
      <color rgb="FFFF0000"/>
      <color rgb="FF66FFCC"/>
      <color rgb="FFFF66FF"/>
      <color rgb="FFFFFFCC"/>
      <color rgb="FFFFFF99"/>
      <color rgb="FFFF2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[employee_salary_dataset.xlsx]Pivot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Department</a:t>
            </a:r>
            <a:endParaRPr lang="en-US"/>
          </a:p>
        </c:rich>
      </c:tx>
      <c:layout>
        <c:manualLayout>
          <c:xMode val="edge"/>
          <c:yMode val="edge"/>
          <c:x val="0.1351388888888888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70-440A-95DF-71E0412827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70-440A-95DF-71E0412827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70-440A-95DF-71E0412827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70-440A-95DF-71E0412827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70-440A-95DF-71E0412827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Table'!$A$3:$A$8</c:f>
              <c:strCache>
                <c:ptCount val="5"/>
                <c:pt idx="0">
                  <c:v>Finance</c:v>
                </c:pt>
                <c:pt idx="1">
                  <c:v>HR</c:v>
                </c:pt>
                <c:pt idx="2">
                  <c:v>IT</c:v>
                </c:pt>
                <c:pt idx="3">
                  <c:v>Marketing</c:v>
                </c:pt>
                <c:pt idx="4">
                  <c:v>Operations</c:v>
                </c:pt>
              </c:strCache>
            </c:strRef>
          </c:cat>
          <c:val>
            <c:numRef>
              <c:f>'Pivot Table'!$B$3:$B$8</c:f>
              <c:numCache>
                <c:formatCode>General</c:formatCode>
                <c:ptCount val="5"/>
                <c:pt idx="0">
                  <c:v>10</c:v>
                </c:pt>
                <c:pt idx="1">
                  <c:v>7</c:v>
                </c:pt>
                <c:pt idx="2">
                  <c:v>10</c:v>
                </c:pt>
                <c:pt idx="3">
                  <c:v>13</c:v>
                </c:pt>
                <c:pt idx="4">
                  <c:v>10</c:v>
                </c:pt>
              </c:numCache>
            </c:numRef>
          </c:val>
          <c:extLst>
            <c:ext xmlns:c16="http://schemas.microsoft.com/office/drawing/2014/chart" uri="{C3380CC4-5D6E-409C-BE32-E72D297353CC}">
              <c16:uniqueId val="{0000000A-2670-440A-95DF-71E0412827D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Monthly</a:t>
            </a:r>
            <a:r>
              <a:rPr lang="en-US" baseline="0"/>
              <a:t> Salary By Department</a:t>
            </a:r>
            <a:endParaRPr lang="en-US"/>
          </a:p>
        </c:rich>
      </c:tx>
      <c:layout>
        <c:manualLayout>
          <c:xMode val="edge"/>
          <c:yMode val="edge"/>
          <c:x val="0.3316908412764194"/>
          <c:y val="9.3314422653690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Table'!$A$33:$A$38</c:f>
              <c:strCache>
                <c:ptCount val="5"/>
                <c:pt idx="0">
                  <c:v>Marketing</c:v>
                </c:pt>
                <c:pt idx="1">
                  <c:v>Operations</c:v>
                </c:pt>
                <c:pt idx="2">
                  <c:v>HR</c:v>
                </c:pt>
                <c:pt idx="3">
                  <c:v>IT</c:v>
                </c:pt>
                <c:pt idx="4">
                  <c:v>Finance</c:v>
                </c:pt>
              </c:strCache>
            </c:strRef>
          </c:cat>
          <c:val>
            <c:numRef>
              <c:f>'Pivot Table'!$B$33:$B$38</c:f>
              <c:numCache>
                <c:formatCode>[$₹-4009]\ #,##0;[$₹-4009]\ \-#,##0</c:formatCode>
                <c:ptCount val="5"/>
                <c:pt idx="0">
                  <c:v>96430.846153846156</c:v>
                </c:pt>
                <c:pt idx="1">
                  <c:v>84239.9</c:v>
                </c:pt>
                <c:pt idx="2">
                  <c:v>82945.142857142855</c:v>
                </c:pt>
                <c:pt idx="3">
                  <c:v>76520.5</c:v>
                </c:pt>
                <c:pt idx="4">
                  <c:v>67261.899999999994</c:v>
                </c:pt>
              </c:numCache>
            </c:numRef>
          </c:val>
          <c:extLst>
            <c:ext xmlns:c16="http://schemas.microsoft.com/office/drawing/2014/chart" uri="{C3380CC4-5D6E-409C-BE32-E72D297353CC}">
              <c16:uniqueId val="{00000000-B62E-4E8F-9D87-8F67FE20F5D3}"/>
            </c:ext>
          </c:extLst>
        </c:ser>
        <c:dLbls>
          <c:dLblPos val="inEnd"/>
          <c:showLegendKey val="0"/>
          <c:showVal val="1"/>
          <c:showCatName val="0"/>
          <c:showSerName val="0"/>
          <c:showPercent val="0"/>
          <c:showBubbleSize val="0"/>
        </c:dLbls>
        <c:gapWidth val="182"/>
        <c:axId val="1525393888"/>
        <c:axId val="1525394368"/>
      </c:barChart>
      <c:catAx>
        <c:axId val="15253938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94368"/>
        <c:crosses val="autoZero"/>
        <c:auto val="1"/>
        <c:lblAlgn val="ctr"/>
        <c:lblOffset val="100"/>
        <c:noMultiLvlLbl val="0"/>
      </c:catAx>
      <c:valAx>
        <c:axId val="1525394368"/>
        <c:scaling>
          <c:orientation val="minMax"/>
        </c:scaling>
        <c:delete val="0"/>
        <c:axPos val="t"/>
        <c:numFmt formatCode="[$₹-4009]\ #,##0;[$₹-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9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Gap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Table'!$B$48</c:f>
              <c:strCache>
                <c:ptCount val="1"/>
                <c:pt idx="0">
                  <c:v>Salary Gap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Table'!$A$49:$A$53</c:f>
              <c:strCache>
                <c:ptCount val="5"/>
                <c:pt idx="0">
                  <c:v>Operations</c:v>
                </c:pt>
                <c:pt idx="1">
                  <c:v>Marketing</c:v>
                </c:pt>
                <c:pt idx="2">
                  <c:v>IT</c:v>
                </c:pt>
                <c:pt idx="3">
                  <c:v>HR</c:v>
                </c:pt>
                <c:pt idx="4">
                  <c:v>Finance</c:v>
                </c:pt>
              </c:strCache>
            </c:strRef>
          </c:cat>
          <c:val>
            <c:numRef>
              <c:f>'Pivot Table'!$B$49:$B$53</c:f>
              <c:numCache>
                <c:formatCode>[$₹-4009]\ #,##0</c:formatCode>
                <c:ptCount val="5"/>
                <c:pt idx="0">
                  <c:v>117230</c:v>
                </c:pt>
                <c:pt idx="1">
                  <c:v>110486</c:v>
                </c:pt>
                <c:pt idx="2">
                  <c:v>100383</c:v>
                </c:pt>
                <c:pt idx="3">
                  <c:v>91027</c:v>
                </c:pt>
                <c:pt idx="4">
                  <c:v>89759</c:v>
                </c:pt>
              </c:numCache>
            </c:numRef>
          </c:val>
          <c:extLst>
            <c:ext xmlns:c16="http://schemas.microsoft.com/office/drawing/2014/chart" uri="{C3380CC4-5D6E-409C-BE32-E72D297353CC}">
              <c16:uniqueId val="{00000000-EDA5-4D22-A40F-7BD4009554FE}"/>
            </c:ext>
          </c:extLst>
        </c:ser>
        <c:dLbls>
          <c:dLblPos val="inEnd"/>
          <c:showLegendKey val="0"/>
          <c:showVal val="1"/>
          <c:showCatName val="0"/>
          <c:showSerName val="0"/>
          <c:showPercent val="0"/>
          <c:showBubbleSize val="0"/>
        </c:dLbls>
        <c:gapWidth val="182"/>
        <c:axId val="1028315648"/>
        <c:axId val="1028335328"/>
      </c:barChart>
      <c:catAx>
        <c:axId val="10283156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35328"/>
        <c:crosses val="autoZero"/>
        <c:auto val="1"/>
        <c:lblAlgn val="ctr"/>
        <c:lblOffset val="100"/>
        <c:noMultiLvlLbl val="0"/>
      </c:catAx>
      <c:valAx>
        <c:axId val="1028335328"/>
        <c:scaling>
          <c:orientation val="minMax"/>
        </c:scaling>
        <c:delete val="0"/>
        <c:axPos val="t"/>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1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[employee_salary_dataset.xlsx]Pivot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Trend By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c:f>
              <c:strCache>
                <c:ptCount val="1"/>
                <c:pt idx="0">
                  <c:v>Total</c:v>
                </c:pt>
              </c:strCache>
            </c:strRef>
          </c:tx>
          <c:spPr>
            <a:solidFill>
              <a:schemeClr val="accent1"/>
            </a:solidFill>
            <a:ln>
              <a:noFill/>
            </a:ln>
            <a:effectLst/>
          </c:spPr>
          <c:invertIfNegative val="0"/>
          <c:cat>
            <c:strRef>
              <c:f>'Pivot Table'!$A$56:$A$59</c:f>
              <c:strCache>
                <c:ptCount val="3"/>
                <c:pt idx="0">
                  <c:v>Low</c:v>
                </c:pt>
                <c:pt idx="1">
                  <c:v>Medium</c:v>
                </c:pt>
                <c:pt idx="2">
                  <c:v>High</c:v>
                </c:pt>
              </c:strCache>
            </c:strRef>
          </c:cat>
          <c:val>
            <c:numRef>
              <c:f>'Pivot Table'!$B$56:$B$59</c:f>
              <c:numCache>
                <c:formatCode>[$₹-4009]\ #,##0</c:formatCode>
                <c:ptCount val="3"/>
                <c:pt idx="0">
                  <c:v>62824.6</c:v>
                </c:pt>
                <c:pt idx="1">
                  <c:v>70403.625</c:v>
                </c:pt>
                <c:pt idx="2">
                  <c:v>87488.864864864867</c:v>
                </c:pt>
              </c:numCache>
            </c:numRef>
          </c:val>
          <c:extLst>
            <c:ext xmlns:c16="http://schemas.microsoft.com/office/drawing/2014/chart" uri="{C3380CC4-5D6E-409C-BE32-E72D297353CC}">
              <c16:uniqueId val="{00000000-892F-4FA1-BBFA-615A47548190}"/>
            </c:ext>
          </c:extLst>
        </c:ser>
        <c:dLbls>
          <c:showLegendKey val="0"/>
          <c:showVal val="0"/>
          <c:showCatName val="0"/>
          <c:showSerName val="0"/>
          <c:showPercent val="0"/>
          <c:showBubbleSize val="0"/>
        </c:dLbls>
        <c:gapWidth val="219"/>
        <c:overlap val="-27"/>
        <c:axId val="1350670608"/>
        <c:axId val="1350668208"/>
      </c:barChart>
      <c:catAx>
        <c:axId val="135067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668208"/>
        <c:crosses val="autoZero"/>
        <c:auto val="1"/>
        <c:lblAlgn val="ctr"/>
        <c:lblOffset val="100"/>
        <c:noMultiLvlLbl val="0"/>
      </c:catAx>
      <c:valAx>
        <c:axId val="1350668208"/>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67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368308</xdr:colOff>
      <xdr:row>6</xdr:row>
      <xdr:rowOff>152271</xdr:rowOff>
    </xdr:from>
    <xdr:to>
      <xdr:col>18</xdr:col>
      <xdr:colOff>557298</xdr:colOff>
      <xdr:row>16</xdr:row>
      <xdr:rowOff>80504</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AC308011-3E0D-86DA-09D4-45B00B13342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125252" y="1722132"/>
              <a:ext cx="2041073" cy="169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390447</xdr:colOff>
      <xdr:row>17</xdr:row>
      <xdr:rowOff>105820</xdr:rowOff>
    </xdr:from>
    <xdr:to>
      <xdr:col>18</xdr:col>
      <xdr:colOff>568853</xdr:colOff>
      <xdr:row>22</xdr:row>
      <xdr:rowOff>159342</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361FE0C2-7259-F72B-819C-58FA0223706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147391" y="3615959"/>
              <a:ext cx="2030489" cy="935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1026758</xdr:colOff>
      <xdr:row>7</xdr:row>
      <xdr:rowOff>28727</xdr:rowOff>
    </xdr:from>
    <xdr:to>
      <xdr:col>8</xdr:col>
      <xdr:colOff>546275</xdr:colOff>
      <xdr:row>22</xdr:row>
      <xdr:rowOff>74689</xdr:rowOff>
    </xdr:to>
    <xdr:graphicFrame macro="">
      <xdr:nvGraphicFramePr>
        <xdr:cNvPr id="2" name="Chart 2">
          <a:extLst>
            <a:ext uri="{FF2B5EF4-FFF2-40B4-BE49-F238E27FC236}">
              <a16:creationId xmlns:a16="http://schemas.microsoft.com/office/drawing/2014/main" id="{A06F7761-AB17-FFB6-9E67-4666D37F4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74082</xdr:colOff>
      <xdr:row>7</xdr:row>
      <xdr:rowOff>61383</xdr:rowOff>
    </xdr:from>
    <xdr:to>
      <xdr:col>3</xdr:col>
      <xdr:colOff>725714</xdr:colOff>
      <xdr:row>22</xdr:row>
      <xdr:rowOff>108856</xdr:rowOff>
    </xdr:to>
    <xdr:graphicFrame macro="">
      <xdr:nvGraphicFramePr>
        <xdr:cNvPr id="8" name="Chart 4">
          <a:extLst>
            <a:ext uri="{FF2B5EF4-FFF2-40B4-BE49-F238E27FC236}">
              <a16:creationId xmlns:a16="http://schemas.microsoft.com/office/drawing/2014/main" id="{C79060E7-722E-CA50-2629-887DF7E23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169543</xdr:rowOff>
    </xdr:from>
    <xdr:to>
      <xdr:col>4</xdr:col>
      <xdr:colOff>735263</xdr:colOff>
      <xdr:row>45</xdr:row>
      <xdr:rowOff>124981</xdr:rowOff>
    </xdr:to>
    <xdr:sp macro="" textlink="">
      <xdr:nvSpPr>
        <xdr:cNvPr id="5" name="TextBox 4">
          <a:extLst>
            <a:ext uri="{FF2B5EF4-FFF2-40B4-BE49-F238E27FC236}">
              <a16:creationId xmlns:a16="http://schemas.microsoft.com/office/drawing/2014/main" id="{88B97C5A-9D26-8F1A-57A2-D79B2CB32159}"/>
            </a:ext>
          </a:extLst>
        </xdr:cNvPr>
        <xdr:cNvSpPr txBox="1"/>
      </xdr:nvSpPr>
      <xdr:spPr>
        <a:xfrm>
          <a:off x="0" y="7720521"/>
          <a:ext cx="7706459" cy="1032177"/>
        </a:xfrm>
        <a:prstGeom prst="rect">
          <a:avLst/>
        </a:prstGeom>
        <a:solidFill>
          <a:schemeClr val="accent5">
            <a:lumMod val="20000"/>
            <a:lumOff val="8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Business Insights</a:t>
          </a:r>
        </a:p>
        <a:p>
          <a:r>
            <a:rPr lang="en-US"/>
            <a:t>• </a:t>
          </a:r>
          <a:r>
            <a:rPr lang="en-US" b="1"/>
            <a:t>Marketing department</a:t>
          </a:r>
          <a:r>
            <a:rPr lang="en-US"/>
            <a:t> offers the highest average salary, indicating higher value or demand for marketing skills.</a:t>
          </a:r>
          <a:br>
            <a:rPr lang="en-US"/>
          </a:br>
          <a:r>
            <a:rPr lang="en-US"/>
            <a:t>• Salary increases with experience, showing a </a:t>
          </a:r>
          <a:r>
            <a:rPr lang="en-US" b="1"/>
            <a:t>strong experience-driven pay structure</a:t>
          </a:r>
          <a:r>
            <a:rPr lang="en-US"/>
            <a:t>.</a:t>
          </a:r>
          <a:br>
            <a:rPr lang="en-US"/>
          </a:br>
          <a:r>
            <a:rPr lang="en-US"/>
            <a:t>• A few </a:t>
          </a:r>
          <a:r>
            <a:rPr lang="en-US" b="1"/>
            <a:t>salary outliers</a:t>
          </a:r>
          <a:r>
            <a:rPr lang="en-US"/>
            <a:t> suggest senior or specialized roles impacting total payroll.</a:t>
          </a:r>
          <a:br>
            <a:rPr lang="en-US"/>
          </a:br>
          <a:r>
            <a:rPr lang="en-US"/>
            <a:t>• </a:t>
          </a:r>
          <a:r>
            <a:rPr lang="en-US" b="1"/>
            <a:t>Finance and IT</a:t>
          </a:r>
          <a:r>
            <a:rPr lang="en-US"/>
            <a:t> departments earn below the company average salary.</a:t>
          </a:r>
          <a:r>
            <a:rPr lang="en-US" sz="1100"/>
            <a:t>.</a:t>
          </a:r>
        </a:p>
      </xdr:txBody>
    </xdr:sp>
    <xdr:clientData/>
  </xdr:twoCellAnchor>
  <xdr:twoCellAnchor>
    <xdr:from>
      <xdr:col>0</xdr:col>
      <xdr:colOff>53448</xdr:colOff>
      <xdr:row>46</xdr:row>
      <xdr:rowOff>119365</xdr:rowOff>
    </xdr:from>
    <xdr:to>
      <xdr:col>2</xdr:col>
      <xdr:colOff>1568537</xdr:colOff>
      <xdr:row>52</xdr:row>
      <xdr:rowOff>9934</xdr:rowOff>
    </xdr:to>
    <xdr:sp macro="" textlink="">
      <xdr:nvSpPr>
        <xdr:cNvPr id="6" name="TextBox 5">
          <a:extLst>
            <a:ext uri="{FF2B5EF4-FFF2-40B4-BE49-F238E27FC236}">
              <a16:creationId xmlns:a16="http://schemas.microsoft.com/office/drawing/2014/main" id="{BF96DFB5-A7F2-514E-30E7-FD737B86F972}"/>
            </a:ext>
          </a:extLst>
        </xdr:cNvPr>
        <xdr:cNvSpPr txBox="1"/>
      </xdr:nvSpPr>
      <xdr:spPr>
        <a:xfrm>
          <a:off x="53448" y="8926539"/>
          <a:ext cx="4524437" cy="967308"/>
        </a:xfrm>
        <a:prstGeom prst="rect">
          <a:avLst/>
        </a:prstGeom>
        <a:solidFill>
          <a:schemeClr val="accent5">
            <a:lumMod val="20000"/>
            <a:lumOff val="8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Actionable</a:t>
          </a:r>
          <a:r>
            <a:rPr lang="en-US" sz="1400" b="1" baseline="0"/>
            <a:t> Recommendations</a:t>
          </a:r>
        </a:p>
        <a:p>
          <a:r>
            <a:rPr lang="en-US"/>
            <a:t>• Review salary bands for </a:t>
          </a:r>
          <a:r>
            <a:rPr lang="en-US" b="1"/>
            <a:t>Finance &amp; IT</a:t>
          </a:r>
          <a:r>
            <a:rPr lang="en-US"/>
            <a:t> to improve employee retention.</a:t>
          </a:r>
          <a:br>
            <a:rPr lang="en-US"/>
          </a:br>
          <a:r>
            <a:rPr lang="en-US"/>
            <a:t>• Introduce </a:t>
          </a:r>
          <a:r>
            <a:rPr lang="en-US" b="1"/>
            <a:t>experience-based salary slabs</a:t>
          </a:r>
          <a:r>
            <a:rPr lang="en-US"/>
            <a:t> for transparency and fairness.</a:t>
          </a:r>
          <a:br>
            <a:rPr lang="en-US"/>
          </a:br>
          <a:r>
            <a:rPr lang="en-US"/>
            <a:t>• Monitor high-salary roles to ensure </a:t>
          </a:r>
          <a:r>
            <a:rPr lang="en-US" b="1"/>
            <a:t>cost efficiency and ROI</a:t>
          </a:r>
          <a:r>
            <a:rPr lang="en-US"/>
            <a:t>.</a:t>
          </a:r>
          <a:br>
            <a:rPr lang="en-US"/>
          </a:br>
          <a:r>
            <a:rPr lang="en-US"/>
            <a:t>• Consider skill-based incentives in high-performing departments.</a:t>
          </a:r>
          <a:endParaRPr lang="en-US" sz="1100"/>
        </a:p>
      </xdr:txBody>
    </xdr:sp>
    <xdr:clientData/>
  </xdr:twoCellAnchor>
  <xdr:twoCellAnchor>
    <xdr:from>
      <xdr:col>13</xdr:col>
      <xdr:colOff>330603</xdr:colOff>
      <xdr:row>24</xdr:row>
      <xdr:rowOff>37726</xdr:rowOff>
    </xdr:from>
    <xdr:to>
      <xdr:col>22</xdr:col>
      <xdr:colOff>217237</xdr:colOff>
      <xdr:row>30</xdr:row>
      <xdr:rowOff>23615</xdr:rowOff>
    </xdr:to>
    <xdr:sp macro="" textlink="">
      <xdr:nvSpPr>
        <xdr:cNvPr id="3" name="TextBox 2">
          <a:extLst>
            <a:ext uri="{FF2B5EF4-FFF2-40B4-BE49-F238E27FC236}">
              <a16:creationId xmlns:a16="http://schemas.microsoft.com/office/drawing/2014/main" id="{DD795AEF-680E-71AC-2A6F-DC04AD3F5014}"/>
            </a:ext>
          </a:extLst>
        </xdr:cNvPr>
        <xdr:cNvSpPr txBox="1"/>
      </xdr:nvSpPr>
      <xdr:spPr>
        <a:xfrm>
          <a:off x="15871392" y="4933910"/>
          <a:ext cx="5300845" cy="1088784"/>
        </a:xfrm>
        <a:prstGeom prst="rect">
          <a:avLst/>
        </a:prstGeom>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400" b="1"/>
            <a:t>Key Salary Drivers</a:t>
          </a:r>
        </a:p>
        <a:p>
          <a:r>
            <a:rPr lang="en-US" sz="1100"/>
            <a:t>• Experience level has the strongest impact on salary (largest jump from Low → Medium).</a:t>
          </a:r>
        </a:p>
        <a:p>
          <a:r>
            <a:rPr lang="en-US" sz="1100"/>
            <a:t>• Marketing &amp; Operations pay above company average.</a:t>
          </a:r>
        </a:p>
        <a:p>
          <a:r>
            <a:rPr lang="en-US" sz="1100"/>
            <a:t>• Education increases salary, but returns diminish after Master level.</a:t>
          </a:r>
        </a:p>
        <a:p>
          <a:r>
            <a:rPr lang="en-US" sz="1100"/>
            <a:t>• Gender pay gap exists and varies by department</a:t>
          </a:r>
          <a:r>
            <a:rPr lang="en-US" sz="1400"/>
            <a:t>.</a:t>
          </a:r>
        </a:p>
        <a:p>
          <a:endParaRPr lang="en-US" sz="1400" b="1"/>
        </a:p>
      </xdr:txBody>
    </xdr:sp>
    <xdr:clientData/>
  </xdr:twoCellAnchor>
  <xdr:twoCellAnchor>
    <xdr:from>
      <xdr:col>0</xdr:col>
      <xdr:colOff>1</xdr:colOff>
      <xdr:row>23</xdr:row>
      <xdr:rowOff>102720</xdr:rowOff>
    </xdr:from>
    <xdr:to>
      <xdr:col>3</xdr:col>
      <xdr:colOff>558030</xdr:colOff>
      <xdr:row>38</xdr:row>
      <xdr:rowOff>110687</xdr:rowOff>
    </xdr:to>
    <xdr:graphicFrame macro="">
      <xdr:nvGraphicFramePr>
        <xdr:cNvPr id="7" name="Chart 4">
          <a:extLst>
            <a:ext uri="{FF2B5EF4-FFF2-40B4-BE49-F238E27FC236}">
              <a16:creationId xmlns:a16="http://schemas.microsoft.com/office/drawing/2014/main" id="{3E8FDAC5-2365-D90E-875D-B4EC53999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239928</xdr:colOff>
      <xdr:row>7</xdr:row>
      <xdr:rowOff>41413</xdr:rowOff>
    </xdr:from>
    <xdr:to>
      <xdr:col>14</xdr:col>
      <xdr:colOff>469348</xdr:colOff>
      <xdr:row>22</xdr:row>
      <xdr:rowOff>95612</xdr:rowOff>
    </xdr:to>
    <xdr:graphicFrame macro="">
      <xdr:nvGraphicFramePr>
        <xdr:cNvPr id="11" name="Chart 5">
          <a:extLst>
            <a:ext uri="{FF2B5EF4-FFF2-40B4-BE49-F238E27FC236}">
              <a16:creationId xmlns:a16="http://schemas.microsoft.com/office/drawing/2014/main" id="{BD2C76B2-00D9-2978-945D-18C741D0B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efreshedDate="46015.588947569442" createdVersion="8" refreshedVersion="8" minRefreshableVersion="3" recordCount="50" xr:uid="{A9C79C7C-2AE2-4AAE-8904-CE11A1916941}">
  <cacheSource type="worksheet">
    <worksheetSource ref="A4:N54" sheet="employee_salary_dataset"/>
  </cacheSource>
  <cacheFields count="14">
    <cacheField name="EmployeeID" numFmtId="0">
      <sharedItems containsSemiMixedTypes="0" containsString="0" containsNumber="1" containsInteger="1" minValue="1" maxValue="50"/>
    </cacheField>
    <cacheField name="Name" numFmtId="0">
      <sharedItems/>
    </cacheField>
    <cacheField name="Department" numFmtId="0">
      <sharedItems count="5">
        <s v="Finance"/>
        <s v="IT"/>
        <s v="Marketing"/>
        <s v="Operations"/>
        <s v="HR"/>
      </sharedItems>
    </cacheField>
    <cacheField name="Experience_Years" numFmtId="0">
      <sharedItems containsSemiMixedTypes="0" containsString="0" containsNumber="1" containsInteger="1" minValue="1" maxValue="19" count="19">
        <n v="5"/>
        <n v="6"/>
        <n v="8"/>
        <n v="3"/>
        <n v="12"/>
        <n v="17"/>
        <n v="4"/>
        <n v="16"/>
        <n v="14"/>
        <n v="15"/>
        <n v="7"/>
        <n v="13"/>
        <n v="18"/>
        <n v="19"/>
        <n v="10"/>
        <n v="9"/>
        <n v="1"/>
        <n v="2"/>
        <n v="11"/>
      </sharedItems>
    </cacheField>
    <cacheField name="Education_Level" numFmtId="0">
      <sharedItems/>
    </cacheField>
    <cacheField name="Age" numFmtId="0">
      <sharedItems containsSemiMixedTypes="0" containsString="0" containsNumber="1" containsInteger="1" minValue="22" maxValue="57"/>
    </cacheField>
    <cacheField name="Gender" numFmtId="0">
      <sharedItems count="2">
        <s v="Female"/>
        <s v="Male"/>
      </sharedItems>
    </cacheField>
    <cacheField name="City" numFmtId="0">
      <sharedItems/>
    </cacheField>
    <cacheField name="Monthly_Salary" numFmtId="165">
      <sharedItems containsSemiMixedTypes="0" containsString="0" containsNumber="1" containsInteger="1" minValue="28420" maxValue="149123"/>
    </cacheField>
    <cacheField name="Sales Category" numFmtId="0">
      <sharedItems/>
    </cacheField>
    <cacheField name="Employee &gt; 5 years" numFmtId="0">
      <sharedItems/>
    </cacheField>
    <cacheField name="Eligible for Bonus (Yes or No)" numFmtId="0">
      <sharedItems/>
    </cacheField>
    <cacheField name="Salary After 10% Increament" numFmtId="165">
      <sharedItems containsSemiMixedTypes="0" containsString="0" containsNumber="1" minValue="31262.000000000004" maxValue="164035.30000000002"/>
    </cacheField>
    <cacheField name="Salary After Increment" numFmtId="165">
      <sharedItems containsSemiMixedTypes="0" containsString="0" containsNumber="1" minValue="29841" maxValue="156579.15"/>
    </cacheField>
  </cacheFields>
  <extLst>
    <ext xmlns:x14="http://schemas.microsoft.com/office/spreadsheetml/2009/9/main" uri="{725AE2AE-9491-48be-B2B4-4EB974FC3084}">
      <x14:pivotCacheDefinition pivotCacheId="18670025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efreshedDate="46015.588948726851" createdVersion="8" refreshedVersion="8" minRefreshableVersion="3" recordCount="50" xr:uid="{4B08FC81-91FA-4072-846D-F3048BB44515}">
  <cacheSource type="worksheet">
    <worksheetSource ref="A4:L54" sheet="employee_salary_dataset"/>
  </cacheSource>
  <cacheFields count="12">
    <cacheField name="EmployeeID" numFmtId="0">
      <sharedItems containsSemiMixedTypes="0" containsString="0" containsNumber="1" containsInteger="1" minValue="1" maxValue="50"/>
    </cacheField>
    <cacheField name="Name" numFmtId="0">
      <sharedItems/>
    </cacheField>
    <cacheField name="Department" numFmtId="0">
      <sharedItems count="5">
        <s v="Finance"/>
        <s v="IT"/>
        <s v="Marketing"/>
        <s v="Operations"/>
        <s v="HR"/>
      </sharedItems>
    </cacheField>
    <cacheField name="Experience_Years" numFmtId="0">
      <sharedItems containsSemiMixedTypes="0" containsString="0" containsNumber="1" containsInteger="1" minValue="1" maxValue="19"/>
    </cacheField>
    <cacheField name="Education_Level" numFmtId="0">
      <sharedItems/>
    </cacheField>
    <cacheField name="Age" numFmtId="0">
      <sharedItems containsSemiMixedTypes="0" containsString="0" containsNumber="1" containsInteger="1" minValue="22" maxValue="57"/>
    </cacheField>
    <cacheField name="Gender" numFmtId="0">
      <sharedItems/>
    </cacheField>
    <cacheField name="City" numFmtId="0">
      <sharedItems/>
    </cacheField>
    <cacheField name="Monthly_Salary" numFmtId="165">
      <sharedItems containsSemiMixedTypes="0" containsString="0" containsNumber="1" containsInteger="1" minValue="28420" maxValue="149123"/>
    </cacheField>
    <cacheField name="Sales Category" numFmtId="0">
      <sharedItems/>
    </cacheField>
    <cacheField name="Employee &gt; 5 years" numFmtId="0">
      <sharedItems/>
    </cacheField>
    <cacheField name="Eligible for Bonus (Yes or No)" numFmtId="0">
      <sharedItems/>
    </cacheField>
  </cacheFields>
  <extLst>
    <ext xmlns:x14="http://schemas.microsoft.com/office/spreadsheetml/2009/9/main" uri="{725AE2AE-9491-48be-B2B4-4EB974FC3084}">
      <x14:pivotCacheDefinition pivotCacheId="5933581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efreshedDate="46016.507684374999" createdVersion="8" refreshedVersion="8" minRefreshableVersion="3" recordCount="50" xr:uid="{B4084785-603C-47CD-AF8A-BBFF407C4D29}">
  <cacheSource type="worksheet">
    <worksheetSource ref="A4:T54" sheet="employee_salary_dataset"/>
  </cacheSource>
  <cacheFields count="20">
    <cacheField name="EmployeeID" numFmtId="0">
      <sharedItems containsSemiMixedTypes="0" containsString="0" containsNumber="1" containsInteger="1" minValue="1" maxValue="50"/>
    </cacheField>
    <cacheField name="Name" numFmtId="0">
      <sharedItems/>
    </cacheField>
    <cacheField name="Department" numFmtId="0">
      <sharedItems count="5">
        <s v="Finance"/>
        <s v="IT"/>
        <s v="Marketing"/>
        <s v="Operations"/>
        <s v="HR"/>
      </sharedItems>
    </cacheField>
    <cacheField name="Experience_Years" numFmtId="0">
      <sharedItems containsSemiMixedTypes="0" containsString="0" containsNumber="1" containsInteger="1" minValue="1" maxValue="19"/>
    </cacheField>
    <cacheField name="Education_Level" numFmtId="0">
      <sharedItems/>
    </cacheField>
    <cacheField name="Age" numFmtId="0">
      <sharedItems containsSemiMixedTypes="0" containsString="0" containsNumber="1" containsInteger="1" minValue="22" maxValue="57"/>
    </cacheField>
    <cacheField name="Gender" numFmtId="0">
      <sharedItems/>
    </cacheField>
    <cacheField name="City" numFmtId="0">
      <sharedItems/>
    </cacheField>
    <cacheField name="Monthly_Salary" numFmtId="165">
      <sharedItems containsSemiMixedTypes="0" containsString="0" containsNumber="1" containsInteger="1" minValue="28420" maxValue="149123"/>
    </cacheField>
    <cacheField name="Sales Category" numFmtId="0">
      <sharedItems/>
    </cacheField>
    <cacheField name="Employee &gt; 5 years" numFmtId="0">
      <sharedItems/>
    </cacheField>
    <cacheField name="Eligible for Bonus (Yes or No)" numFmtId="0">
      <sharedItems/>
    </cacheField>
    <cacheField name="Salary After 10% Increament" numFmtId="165">
      <sharedItems containsSemiMixedTypes="0" containsString="0" containsNumber="1" minValue="31262.000000000004" maxValue="164035.30000000002"/>
    </cacheField>
    <cacheField name="Salary After Increment" numFmtId="165">
      <sharedItems containsSemiMixedTypes="0" containsString="0" containsNumber="1" minValue="29841" maxValue="156579.15"/>
    </cacheField>
    <cacheField name="Education_Level_Score" numFmtId="1">
      <sharedItems containsSemiMixedTypes="0" containsString="0" containsNumber="1" containsInteger="1" minValue="1" maxValue="4"/>
    </cacheField>
    <cacheField name="Experience_Level" numFmtId="1">
      <sharedItems containsSemiMixedTypes="0" containsString="0" containsNumber="1" containsInteger="1" minValue="1" maxValue="3"/>
    </cacheField>
    <cacheField name="Salary Level" numFmtId="1">
      <sharedItems containsSemiMixedTypes="0" containsString="0" containsNumber="1" containsInteger="1" minValue="1" maxValue="3"/>
    </cacheField>
    <cacheField name="Education_level_text" numFmtId="1">
      <sharedItems/>
    </cacheField>
    <cacheField name="Experience_level_text" numFmtId="1">
      <sharedItems count="3">
        <s v="Medium"/>
        <s v="High"/>
        <s v="Low"/>
      </sharedItems>
    </cacheField>
    <cacheField name="Salary_level_text" numFmtId="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6.604441898147" createdVersion="8" refreshedVersion="8" minRefreshableVersion="3" recordCount="0" supportSubquery="1" supportAdvancedDrill="1" xr:uid="{9809D33F-F36C-41A7-874D-6D1D4486AE84}">
  <cacheSource type="external" connectionId="1"/>
  <cacheFields count="3">
    <cacheField name="[Range].[Education_level_text].[Education_level_text]" caption="Education_level_text" numFmtId="0" hierarchy="17" level="1">
      <sharedItems count="4">
        <s v="Bachelor"/>
        <s v="High School"/>
        <s v="Master"/>
        <s v="PhD"/>
      </sharedItems>
    </cacheField>
    <cacheField name="[Range].[Experience_level_text].[Experience_level_text]" caption="Experience_level_text" numFmtId="0" hierarchy="18" level="1">
      <sharedItems count="3">
        <s v="High"/>
        <s v="Low"/>
        <s v="Medium"/>
      </sharedItems>
    </cacheField>
    <cacheField name="[Measures].[Average of Monthly_Salary]" caption="Average of Monthly_Salary" numFmtId="0" hierarchy="30" level="32767"/>
  </cacheFields>
  <cacheHierarchies count="31">
    <cacheHierarchy uniqueName="[Range].[EmployeeID]" caption="EmployeeID" attribute="1" defaultMemberUniqueName="[Range].[EmployeeID].[All]" allUniqueName="[Range].[Employee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xperience_Years]" caption="Experience_Years" attribute="1" defaultMemberUniqueName="[Range].[Experience_Years].[All]" allUniqueName="[Range].[Experience_Years].[All]" dimensionUniqueName="[Range]" displayFolder="" count="0" memberValueDatatype="20" unbalanced="0"/>
    <cacheHierarchy uniqueName="[Range].[Education_Level]" caption="Education_Level" attribute="1" defaultMemberUniqueName="[Range].[Education_Level].[All]" allUniqueName="[Range].[Education_Level].[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onthly_Salary]" caption="Monthly_Salary" attribute="1" defaultMemberUniqueName="[Range].[Monthly_Salary].[All]" allUniqueName="[Range].[Monthly_Salary].[All]" dimensionUniqueName="[Range]" displayFolder="" count="0" memberValueDatatype="20" unbalanced="0"/>
    <cacheHierarchy uniqueName="[Range].[Sales Category]" caption="Sales Category" attribute="1" defaultMemberUniqueName="[Range].[Sales Category].[All]" allUniqueName="[Range].[Sales Category].[All]" dimensionUniqueName="[Range]" displayFolder="" count="0" memberValueDatatype="130" unbalanced="0"/>
    <cacheHierarchy uniqueName="[Range].[Employee &gt; 5 years]" caption="Employee &gt; 5 years" attribute="1" defaultMemberUniqueName="[Range].[Employee &gt; 5 years].[All]" allUniqueName="[Range].[Employee &gt; 5 years].[All]" dimensionUniqueName="[Range]" displayFolder="" count="0" memberValueDatatype="130" unbalanced="0"/>
    <cacheHierarchy uniqueName="[Range].[Eligible for Bonus (Yes or No)]" caption="Eligible for Bonus (Yes or No)" attribute="1" defaultMemberUniqueName="[Range].[Eligible for Bonus (Yes or No)].[All]" allUniqueName="[Range].[Eligible for Bonus (Yes or No)].[All]" dimensionUniqueName="[Range]" displayFolder="" count="0" memberValueDatatype="130" unbalanced="0"/>
    <cacheHierarchy uniqueName="[Range].[Salary After 10% Increament]" caption="Salary After 10% Increament" attribute="1" defaultMemberUniqueName="[Range].[Salary After 10% Increament].[All]" allUniqueName="[Range].[Salary After 10% Increament].[All]" dimensionUniqueName="[Range]" displayFolder="" count="0" memberValueDatatype="5" unbalanced="0"/>
    <cacheHierarchy uniqueName="[Range].[Salary After Increment]" caption="Salary After Increment" attribute="1" defaultMemberUniqueName="[Range].[Salary After Increment].[All]" allUniqueName="[Range].[Salary After Increment].[All]" dimensionUniqueName="[Range]" displayFolder="" count="0" memberValueDatatype="5" unbalanced="0"/>
    <cacheHierarchy uniqueName="[Range].[Education_Level_Score]" caption="Education_Level_Score" attribute="1" defaultMemberUniqueName="[Range].[Education_Level_Score].[All]" allUniqueName="[Range].[Education_Level_Score].[All]" dimensionUniqueName="[Range]" displayFolder="" count="0" memberValueDatatype="20" unbalanced="0"/>
    <cacheHierarchy uniqueName="[Range].[Experience_Level]" caption="Experience_Level" attribute="1" defaultMemberUniqueName="[Range].[Experience_Level].[All]" allUniqueName="[Range].[Experience_Level].[All]" dimensionUniqueName="[Range]" displayFolder="" count="0" memberValueDatatype="20" unbalanced="0"/>
    <cacheHierarchy uniqueName="[Range].[Salary Level]" caption="Salary Level" attribute="1" defaultMemberUniqueName="[Range].[Salary Level].[All]" allUniqueName="[Range].[Salary Level].[All]" dimensionUniqueName="[Range]" displayFolder="" count="0" memberValueDatatype="20" unbalanced="0"/>
    <cacheHierarchy uniqueName="[Range].[Education_level_text]" caption="Education_level_text" attribute="1" defaultMemberUniqueName="[Range].[Education_level_text].[All]" allUniqueName="[Range].[Education_level_text].[All]" dimensionUniqueName="[Range]" displayFolder="" count="2" memberValueDatatype="130" unbalanced="0">
      <fieldsUsage count="2">
        <fieldUsage x="-1"/>
        <fieldUsage x="0"/>
      </fieldsUsage>
    </cacheHierarchy>
    <cacheHierarchy uniqueName="[Range].[Experience_level_text]" caption="Experience_level_text" attribute="1" defaultMemberUniqueName="[Range].[Experience_level_text].[All]" allUniqueName="[Range].[Experience_level_text].[All]" dimensionUniqueName="[Range]" displayFolder="" count="2" memberValueDatatype="130" unbalanced="0">
      <fieldsUsage count="2">
        <fieldUsage x="-1"/>
        <fieldUsage x="1"/>
      </fieldsUsage>
    </cacheHierarchy>
    <cacheHierarchy uniqueName="[Range].[Salary_level_text]" caption="Salary_level_text" attribute="1" defaultMemberUniqueName="[Range].[Salary_level_text].[All]" allUniqueName="[Range].[Salary_level_text].[All]" dimensionUniqueName="[Range]" displayFolder="" count="0" memberValueDatatype="130" unbalanced="0"/>
    <cacheHierarchy uniqueName="[Table1].[Total Employees]" caption="Total Employees" attribute="1" defaultMemberUniqueName="[Table1].[Total Employees].[All]" allUniqueName="[Table1].[Total Employees].[All]" dimensionUniqueName="[Table1]" displayFolder="" count="0" memberValueDatatype="20" unbalanced="0"/>
    <cacheHierarchy uniqueName="[Table1].[Avg Monthly Salary]" caption="Avg Monthly Salary" attribute="1" defaultMemberUniqueName="[Table1].[Avg Monthly Salary].[All]" allUniqueName="[Table1].[Avg Monthly Salary].[All]" dimensionUniqueName="[Table1]" displayFolder="" count="0" memberValueDatatype="5" unbalanced="0"/>
    <cacheHierarchy uniqueName="[Table1].[Max Monthly Salary]" caption="Max Monthly Salary" attribute="1" defaultMemberUniqueName="[Table1].[Max Monthly Salary].[All]" allUniqueName="[Table1].[Max Monthly Salary].[All]" dimensionUniqueName="[Table1]"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alary_level_text]" caption="Count of Salary_level_text" measure="1" displayFolder="" measureGroup="Range" count="0" hidden="1">
      <extLst>
        <ext xmlns:x15="http://schemas.microsoft.com/office/spreadsheetml/2010/11/main" uri="{B97F6D7D-B522-45F9-BDA1-12C45D357490}">
          <x15:cacheHierarchy aggregatedColumn="19"/>
        </ext>
      </extLst>
    </cacheHierarchy>
    <cacheHierarchy uniqueName="[Measures].[Sum of Salary Level]" caption="Sum of Salary Level" measure="1" displayFolder="" measureGroup="Range" count="0" hidden="1">
      <extLst>
        <ext xmlns:x15="http://schemas.microsoft.com/office/spreadsheetml/2010/11/main" uri="{B97F6D7D-B522-45F9-BDA1-12C45D357490}">
          <x15:cacheHierarchy aggregatedColumn="16"/>
        </ext>
      </extLst>
    </cacheHierarchy>
    <cacheHierarchy uniqueName="[Measures].[Average of Salary Level]" caption="Average of Salary Level" measure="1" displayFolder="" measureGroup="Range" count="0" hidden="1">
      <extLst>
        <ext xmlns:x15="http://schemas.microsoft.com/office/spreadsheetml/2010/11/main" uri="{B97F6D7D-B522-45F9-BDA1-12C45D357490}">
          <x15:cacheHierarchy aggregatedColumn="16"/>
        </ext>
      </extLst>
    </cacheHierarchy>
    <cacheHierarchy uniqueName="[Measures].[Sum of Monthly_Salary]" caption="Sum of Monthly_Salary" measure="1" displayFolder="" measureGroup="Range"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6.604441898147" createdVersion="8" refreshedVersion="8" minRefreshableVersion="3" recordCount="0" supportSubquery="1" supportAdvancedDrill="1" xr:uid="{E5727D51-D5EC-41FF-8254-AEEA8FEFA42D}">
  <cacheSource type="external" connectionId="1"/>
  <cacheFields count="3">
    <cacheField name="[Range].[Education_level_text].[Education_level_text]" caption="Education_level_text" numFmtId="0" hierarchy="17" level="1">
      <sharedItems count="4">
        <s v="Bachelor"/>
        <s v="High School"/>
        <s v="Master"/>
        <s v="PhD"/>
      </sharedItems>
    </cacheField>
    <cacheField name="[Range].[Experience_level_text].[Experience_level_text]" caption="Experience_level_text" numFmtId="0" hierarchy="18" level="1">
      <sharedItems count="3">
        <s v="High"/>
        <s v="Low"/>
        <s v="Medium"/>
      </sharedItems>
    </cacheField>
    <cacheField name="[Measures].[Average of Monthly_Salary]" caption="Average of Monthly_Salary" numFmtId="0" hierarchy="30" level="32767"/>
  </cacheFields>
  <cacheHierarchies count="31">
    <cacheHierarchy uniqueName="[Range].[EmployeeID]" caption="EmployeeID" attribute="1" defaultMemberUniqueName="[Range].[EmployeeID].[All]" allUniqueName="[Range].[Employee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xperience_Years]" caption="Experience_Years" attribute="1" defaultMemberUniqueName="[Range].[Experience_Years].[All]" allUniqueName="[Range].[Experience_Years].[All]" dimensionUniqueName="[Range]" displayFolder="" count="0" memberValueDatatype="20" unbalanced="0"/>
    <cacheHierarchy uniqueName="[Range].[Education_Level]" caption="Education_Level" attribute="1" defaultMemberUniqueName="[Range].[Education_Level].[All]" allUniqueName="[Range].[Education_Level].[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Monthly_Salary]" caption="Monthly_Salary" attribute="1" defaultMemberUniqueName="[Range].[Monthly_Salary].[All]" allUniqueName="[Range].[Monthly_Salary].[All]" dimensionUniqueName="[Range]" displayFolder="" count="0" memberValueDatatype="20" unbalanced="0"/>
    <cacheHierarchy uniqueName="[Range].[Sales Category]" caption="Sales Category" attribute="1" defaultMemberUniqueName="[Range].[Sales Category].[All]" allUniqueName="[Range].[Sales Category].[All]" dimensionUniqueName="[Range]" displayFolder="" count="0" memberValueDatatype="130" unbalanced="0"/>
    <cacheHierarchy uniqueName="[Range].[Employee &gt; 5 years]" caption="Employee &gt; 5 years" attribute="1" defaultMemberUniqueName="[Range].[Employee &gt; 5 years].[All]" allUniqueName="[Range].[Employee &gt; 5 years].[All]" dimensionUniqueName="[Range]" displayFolder="" count="0" memberValueDatatype="130" unbalanced="0"/>
    <cacheHierarchy uniqueName="[Range].[Eligible for Bonus (Yes or No)]" caption="Eligible for Bonus (Yes or No)" attribute="1" defaultMemberUniqueName="[Range].[Eligible for Bonus (Yes or No)].[All]" allUniqueName="[Range].[Eligible for Bonus (Yes or No)].[All]" dimensionUniqueName="[Range]" displayFolder="" count="0" memberValueDatatype="130" unbalanced="0"/>
    <cacheHierarchy uniqueName="[Range].[Salary After 10% Increament]" caption="Salary After 10% Increament" attribute="1" defaultMemberUniqueName="[Range].[Salary After 10% Increament].[All]" allUniqueName="[Range].[Salary After 10% Increament].[All]" dimensionUniqueName="[Range]" displayFolder="" count="0" memberValueDatatype="5" unbalanced="0"/>
    <cacheHierarchy uniqueName="[Range].[Salary After Increment]" caption="Salary After Increment" attribute="1" defaultMemberUniqueName="[Range].[Salary After Increment].[All]" allUniqueName="[Range].[Salary After Increment].[All]" dimensionUniqueName="[Range]" displayFolder="" count="0" memberValueDatatype="5" unbalanced="0"/>
    <cacheHierarchy uniqueName="[Range].[Education_Level_Score]" caption="Education_Level_Score" attribute="1" defaultMemberUniqueName="[Range].[Education_Level_Score].[All]" allUniqueName="[Range].[Education_Level_Score].[All]" dimensionUniqueName="[Range]" displayFolder="" count="0" memberValueDatatype="20" unbalanced="0"/>
    <cacheHierarchy uniqueName="[Range].[Experience_Level]" caption="Experience_Level" attribute="1" defaultMemberUniqueName="[Range].[Experience_Level].[All]" allUniqueName="[Range].[Experience_Level].[All]" dimensionUniqueName="[Range]" displayFolder="" count="0" memberValueDatatype="20" unbalanced="0"/>
    <cacheHierarchy uniqueName="[Range].[Salary Level]" caption="Salary Level" attribute="1" defaultMemberUniqueName="[Range].[Salary Level].[All]" allUniqueName="[Range].[Salary Level].[All]" dimensionUniqueName="[Range]" displayFolder="" count="0" memberValueDatatype="20" unbalanced="0"/>
    <cacheHierarchy uniqueName="[Range].[Education_level_text]" caption="Education_level_text" attribute="1" defaultMemberUniqueName="[Range].[Education_level_text].[All]" allUniqueName="[Range].[Education_level_text].[All]" dimensionUniqueName="[Range]" displayFolder="" count="2" memberValueDatatype="130" unbalanced="0">
      <fieldsUsage count="2">
        <fieldUsage x="-1"/>
        <fieldUsage x="0"/>
      </fieldsUsage>
    </cacheHierarchy>
    <cacheHierarchy uniqueName="[Range].[Experience_level_text]" caption="Experience_level_text" attribute="1" defaultMemberUniqueName="[Range].[Experience_level_text].[All]" allUniqueName="[Range].[Experience_level_text].[All]" dimensionUniqueName="[Range]" displayFolder="" count="2" memberValueDatatype="130" unbalanced="0">
      <fieldsUsage count="2">
        <fieldUsage x="-1"/>
        <fieldUsage x="1"/>
      </fieldsUsage>
    </cacheHierarchy>
    <cacheHierarchy uniqueName="[Range].[Salary_level_text]" caption="Salary_level_text" attribute="1" defaultMemberUniqueName="[Range].[Salary_level_text].[All]" allUniqueName="[Range].[Salary_level_text].[All]" dimensionUniqueName="[Range]" displayFolder="" count="0" memberValueDatatype="130" unbalanced="0"/>
    <cacheHierarchy uniqueName="[Table1].[Total Employees]" caption="Total Employees" attribute="1" defaultMemberUniqueName="[Table1].[Total Employees].[All]" allUniqueName="[Table1].[Total Employees].[All]" dimensionUniqueName="[Table1]" displayFolder="" count="0" memberValueDatatype="20" unbalanced="0"/>
    <cacheHierarchy uniqueName="[Table1].[Avg Monthly Salary]" caption="Avg Monthly Salary" attribute="1" defaultMemberUniqueName="[Table1].[Avg Monthly Salary].[All]" allUniqueName="[Table1].[Avg Monthly Salary].[All]" dimensionUniqueName="[Table1]" displayFolder="" count="0" memberValueDatatype="5" unbalanced="0"/>
    <cacheHierarchy uniqueName="[Table1].[Max Monthly Salary]" caption="Max Monthly Salary" attribute="1" defaultMemberUniqueName="[Table1].[Max Monthly Salary].[All]" allUniqueName="[Table1].[Max Monthly Salary].[All]" dimensionUniqueName="[Table1]"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alary_level_text]" caption="Count of Salary_level_text" measure="1" displayFolder="" measureGroup="Range" count="0" hidden="1">
      <extLst>
        <ext xmlns:x15="http://schemas.microsoft.com/office/spreadsheetml/2010/11/main" uri="{B97F6D7D-B522-45F9-BDA1-12C45D357490}">
          <x15:cacheHierarchy aggregatedColumn="19"/>
        </ext>
      </extLst>
    </cacheHierarchy>
    <cacheHierarchy uniqueName="[Measures].[Sum of Salary Level]" caption="Sum of Salary Level" measure="1" displayFolder="" measureGroup="Range" count="0" hidden="1">
      <extLst>
        <ext xmlns:x15="http://schemas.microsoft.com/office/spreadsheetml/2010/11/main" uri="{B97F6D7D-B522-45F9-BDA1-12C45D357490}">
          <x15:cacheHierarchy aggregatedColumn="16"/>
        </ext>
      </extLst>
    </cacheHierarchy>
    <cacheHierarchy uniqueName="[Measures].[Average of Salary Level]" caption="Average of Salary Level" measure="1" displayFolder="" measureGroup="Range" count="0" hidden="1">
      <extLst>
        <ext xmlns:x15="http://schemas.microsoft.com/office/spreadsheetml/2010/11/main" uri="{B97F6D7D-B522-45F9-BDA1-12C45D357490}">
          <x15:cacheHierarchy aggregatedColumn="16"/>
        </ext>
      </extLst>
    </cacheHierarchy>
    <cacheHierarchy uniqueName="[Measures].[Sum of Monthly_Salary]" caption="Sum of Monthly_Salary" measure="1" displayFolder="" measureGroup="Range"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Employee_49"/>
    <x v="0"/>
    <x v="0"/>
    <s v="PhD"/>
    <n v="23"/>
    <x v="0"/>
    <s v="Hyderabad"/>
    <n v="28420"/>
    <s v="Low"/>
    <s v="No"/>
    <s v="Yes"/>
    <n v="31262.000000000004"/>
    <n v="29841"/>
  </r>
  <r>
    <n v="2"/>
    <s v="Employee_14"/>
    <x v="0"/>
    <x v="1"/>
    <s v="Bachelor"/>
    <n v="27"/>
    <x v="1"/>
    <s v="Delhi"/>
    <n v="28436"/>
    <s v="Low"/>
    <s v="Yes"/>
    <s v="Yes"/>
    <n v="31279.600000000002"/>
    <n v="29857.800000000003"/>
  </r>
  <r>
    <n v="12"/>
    <s v="Employee_45"/>
    <x v="0"/>
    <x v="2"/>
    <s v="Master"/>
    <n v="53"/>
    <x v="1"/>
    <s v="Delhi"/>
    <n v="57635"/>
    <s v="Medium"/>
    <s v="Yes"/>
    <s v="Yes"/>
    <n v="63398.500000000007"/>
    <n v="60516.75"/>
  </r>
  <r>
    <n v="13"/>
    <s v="Employee_47"/>
    <x v="0"/>
    <x v="3"/>
    <s v="Master"/>
    <n v="22"/>
    <x v="0"/>
    <s v="Delhi"/>
    <n v="58828"/>
    <s v="Medium"/>
    <s v="No"/>
    <s v="Yes"/>
    <n v="64710.8"/>
    <n v="61769.4"/>
  </r>
  <r>
    <n v="17"/>
    <s v="Employee_6"/>
    <x v="0"/>
    <x v="3"/>
    <s v="High School"/>
    <n v="50"/>
    <x v="1"/>
    <s v="Mumbai"/>
    <n v="65818"/>
    <s v="Medium"/>
    <s v="No"/>
    <s v="Yes"/>
    <n v="72399.8"/>
    <n v="69108.900000000009"/>
  </r>
  <r>
    <n v="18"/>
    <s v="Employee_40"/>
    <x v="0"/>
    <x v="4"/>
    <s v="Bachelor"/>
    <n v="38"/>
    <x v="0"/>
    <s v="Mumbai"/>
    <n v="68484"/>
    <s v="Medium"/>
    <s v="Yes"/>
    <s v="Yes"/>
    <n v="75332.400000000009"/>
    <n v="71908.2"/>
  </r>
  <r>
    <n v="23"/>
    <s v="Employee_44"/>
    <x v="0"/>
    <x v="5"/>
    <s v="Master"/>
    <n v="44"/>
    <x v="1"/>
    <s v="Hyderabad"/>
    <n v="72202"/>
    <s v="High"/>
    <s v="Yes"/>
    <s v="Yes"/>
    <n v="79422.200000000012"/>
    <n v="75812.100000000006"/>
  </r>
  <r>
    <n v="25"/>
    <s v="Employee_21"/>
    <x v="0"/>
    <x v="6"/>
    <s v="Master"/>
    <n v="46"/>
    <x v="0"/>
    <s v="Delhi"/>
    <n v="73404"/>
    <s v="High"/>
    <s v="No"/>
    <s v="Yes"/>
    <n v="80744.400000000009"/>
    <n v="77074.2"/>
  </r>
  <r>
    <n v="36"/>
    <s v="Employee_16"/>
    <x v="0"/>
    <x v="6"/>
    <s v="High School"/>
    <n v="49"/>
    <x v="0"/>
    <s v="Delhi"/>
    <n v="101213"/>
    <s v="High"/>
    <s v="No"/>
    <s v="Yes"/>
    <n v="111334.3"/>
    <n v="106273.65000000001"/>
  </r>
  <r>
    <n v="40"/>
    <s v="Employee_28"/>
    <x v="0"/>
    <x v="7"/>
    <s v="Master"/>
    <n v="29"/>
    <x v="0"/>
    <s v="Hyderabad"/>
    <n v="118179"/>
    <s v="High"/>
    <s v="Yes"/>
    <s v="Yes"/>
    <n v="129996.90000000001"/>
    <n v="124087.95000000001"/>
  </r>
  <r>
    <n v="3"/>
    <s v="Employee_26"/>
    <x v="1"/>
    <x v="8"/>
    <s v="Master"/>
    <n v="24"/>
    <x v="1"/>
    <s v="Hyderabad"/>
    <n v="30600"/>
    <s v="Medium"/>
    <s v="Yes"/>
    <s v="Yes"/>
    <n v="33660"/>
    <n v="32130"/>
  </r>
  <r>
    <n v="6"/>
    <s v="Employee_9"/>
    <x v="1"/>
    <x v="6"/>
    <s v="Bachelor"/>
    <n v="53"/>
    <x v="1"/>
    <s v="Hyderabad"/>
    <n v="42429"/>
    <s v="Medium"/>
    <s v="No"/>
    <s v="Yes"/>
    <n v="46671.9"/>
    <n v="44550.450000000004"/>
  </r>
  <r>
    <n v="10"/>
    <s v="Employee_8"/>
    <x v="1"/>
    <x v="5"/>
    <s v="PhD"/>
    <n v="34"/>
    <x v="0"/>
    <s v="Bangalore"/>
    <n v="44830"/>
    <s v="Medium"/>
    <s v="Yes"/>
    <s v="Yes"/>
    <n v="49313.000000000007"/>
    <n v="47071.5"/>
  </r>
  <r>
    <n v="20"/>
    <s v="Employee_3"/>
    <x v="1"/>
    <x v="4"/>
    <s v="High School"/>
    <n v="51"/>
    <x v="0"/>
    <s v="Hyderabad"/>
    <n v="69064"/>
    <s v="Medium"/>
    <s v="Yes"/>
    <s v="Yes"/>
    <n v="75970.400000000009"/>
    <n v="72517.2"/>
  </r>
  <r>
    <n v="21"/>
    <s v="Employee_7"/>
    <x v="1"/>
    <x v="8"/>
    <s v="PhD"/>
    <n v="57"/>
    <x v="1"/>
    <s v="Mumbai"/>
    <n v="70525"/>
    <s v="High"/>
    <s v="Yes"/>
    <s v="Yes"/>
    <n v="77577.5"/>
    <n v="74051.25"/>
  </r>
  <r>
    <n v="22"/>
    <s v="Employee_31"/>
    <x v="1"/>
    <x v="9"/>
    <s v="Bachelor"/>
    <n v="54"/>
    <x v="0"/>
    <s v="Hyderabad"/>
    <n v="70714"/>
    <s v="High"/>
    <s v="Yes"/>
    <s v="Yes"/>
    <n v="77785.400000000009"/>
    <n v="74249.7"/>
  </r>
  <r>
    <n v="28"/>
    <s v="Employee_37"/>
    <x v="1"/>
    <x v="10"/>
    <s v="High School"/>
    <n v="33"/>
    <x v="1"/>
    <s v="Chennai"/>
    <n v="81491"/>
    <s v="High"/>
    <s v="Yes"/>
    <s v="Yes"/>
    <n v="89640.1"/>
    <n v="85565.55"/>
  </r>
  <r>
    <n v="37"/>
    <s v="Employee_12"/>
    <x v="1"/>
    <x v="6"/>
    <s v="Master"/>
    <n v="49"/>
    <x v="0"/>
    <s v="Hyderabad"/>
    <n v="104909"/>
    <s v="High"/>
    <s v="No"/>
    <s v="Yes"/>
    <n v="115399.90000000001"/>
    <n v="110154.45000000001"/>
  </r>
  <r>
    <n v="41"/>
    <s v="Employee_27"/>
    <x v="1"/>
    <x v="2"/>
    <s v="Bachelor"/>
    <n v="27"/>
    <x v="0"/>
    <s v="Delhi"/>
    <n v="119660"/>
    <s v="High"/>
    <s v="Yes"/>
    <s v="Yes"/>
    <n v="131626"/>
    <n v="125643"/>
  </r>
  <r>
    <n v="45"/>
    <s v="Employee_35"/>
    <x v="1"/>
    <x v="11"/>
    <s v="Master"/>
    <n v="53"/>
    <x v="1"/>
    <s v="Bangalore"/>
    <n v="130983"/>
    <s v="High"/>
    <s v="Yes"/>
    <s v="Yes"/>
    <n v="144081.30000000002"/>
    <n v="137532.15"/>
  </r>
  <r>
    <n v="4"/>
    <s v="Employee_17"/>
    <x v="2"/>
    <x v="12"/>
    <s v="Master"/>
    <n v="41"/>
    <x v="0"/>
    <s v="Hyderabad"/>
    <n v="30895"/>
    <s v="Medium"/>
    <s v="Yes"/>
    <s v="Yes"/>
    <n v="33984.5"/>
    <n v="32439.75"/>
  </r>
  <r>
    <n v="16"/>
    <s v="Employee_29"/>
    <x v="2"/>
    <x v="11"/>
    <s v="High School"/>
    <n v="48"/>
    <x v="1"/>
    <s v="Bangalore"/>
    <n v="65764"/>
    <s v="Medium"/>
    <s v="Yes"/>
    <s v="Yes"/>
    <n v="72340.400000000009"/>
    <n v="69052.2"/>
  </r>
  <r>
    <n v="19"/>
    <s v="Employee_43"/>
    <x v="2"/>
    <x v="13"/>
    <s v="High School"/>
    <n v="49"/>
    <x v="0"/>
    <s v="Delhi"/>
    <n v="68525"/>
    <s v="Medium"/>
    <s v="Yes"/>
    <s v="Yes"/>
    <n v="75377.5"/>
    <n v="71951.25"/>
  </r>
  <r>
    <n v="26"/>
    <s v="Employee_20"/>
    <x v="2"/>
    <x v="14"/>
    <s v="Bachelor"/>
    <n v="49"/>
    <x v="1"/>
    <s v="Bangalore"/>
    <n v="74377"/>
    <s v="High"/>
    <s v="Yes"/>
    <s v="Yes"/>
    <n v="81814.700000000012"/>
    <n v="78095.850000000006"/>
  </r>
  <r>
    <n v="29"/>
    <s v="Employee_32"/>
    <x v="2"/>
    <x v="11"/>
    <s v="Master"/>
    <n v="45"/>
    <x v="0"/>
    <s v="Hyderabad"/>
    <n v="81835"/>
    <s v="High"/>
    <s v="Yes"/>
    <s v="Yes"/>
    <n v="90018.5"/>
    <n v="85926.75"/>
  </r>
  <r>
    <n v="34"/>
    <s v="Employee_15"/>
    <x v="2"/>
    <x v="14"/>
    <s v="PhD"/>
    <n v="49"/>
    <x v="0"/>
    <s v="Mumbai"/>
    <n v="99290"/>
    <s v="High"/>
    <s v="Yes"/>
    <s v="Yes"/>
    <n v="109219.00000000001"/>
    <n v="104254.5"/>
  </r>
  <r>
    <n v="35"/>
    <s v="Employee_30"/>
    <x v="2"/>
    <x v="12"/>
    <s v="High School"/>
    <n v="30"/>
    <x v="1"/>
    <s v="Delhi"/>
    <n v="99543"/>
    <s v="High"/>
    <s v="Yes"/>
    <s v="Yes"/>
    <n v="109497.3"/>
    <n v="104520.15000000001"/>
  </r>
  <r>
    <n v="38"/>
    <s v="Employee_41"/>
    <x v="2"/>
    <x v="2"/>
    <s v="Bachelor"/>
    <n v="23"/>
    <x v="0"/>
    <s v="Bangalore"/>
    <n v="107989"/>
    <s v="High"/>
    <s v="Yes"/>
    <s v="Yes"/>
    <n v="118787.90000000001"/>
    <n v="113388.45000000001"/>
  </r>
  <r>
    <n v="39"/>
    <s v="Employee_1"/>
    <x v="2"/>
    <x v="9"/>
    <s v="Master"/>
    <n v="53"/>
    <x v="0"/>
    <s v="Delhi"/>
    <n v="111416"/>
    <s v="High"/>
    <s v="Yes"/>
    <s v="Yes"/>
    <n v="122557.6"/>
    <n v="116986.8"/>
  </r>
  <r>
    <n v="42"/>
    <s v="Employee_50"/>
    <x v="2"/>
    <x v="14"/>
    <s v="High School"/>
    <n v="47"/>
    <x v="0"/>
    <s v="Bangalore"/>
    <n v="121752"/>
    <s v="High"/>
    <s v="Yes"/>
    <s v="Yes"/>
    <n v="133927.20000000001"/>
    <n v="127839.6"/>
  </r>
  <r>
    <n v="43"/>
    <s v="Employee_23"/>
    <x v="2"/>
    <x v="7"/>
    <s v="High School"/>
    <n v="22"/>
    <x v="1"/>
    <s v="Bangalore"/>
    <n v="122888"/>
    <s v="High"/>
    <s v="Yes"/>
    <s v="Yes"/>
    <n v="135176.80000000002"/>
    <n v="129032.40000000001"/>
  </r>
  <r>
    <n v="44"/>
    <s v="Employee_33"/>
    <x v="2"/>
    <x v="15"/>
    <s v="Master"/>
    <n v="36"/>
    <x v="1"/>
    <s v="Bangalore"/>
    <n v="127946"/>
    <s v="High"/>
    <s v="Yes"/>
    <s v="Yes"/>
    <n v="140740.6"/>
    <n v="134343.30000000002"/>
  </r>
  <r>
    <n v="49"/>
    <s v="Employee_11"/>
    <x v="2"/>
    <x v="2"/>
    <s v="PhD"/>
    <n v="43"/>
    <x v="1"/>
    <s v="Delhi"/>
    <n v="141381"/>
    <s v="High"/>
    <s v="Yes"/>
    <s v="Yes"/>
    <n v="155519.1"/>
    <n v="148450.05000000002"/>
  </r>
  <r>
    <n v="5"/>
    <s v="Employee_10"/>
    <x v="3"/>
    <x v="12"/>
    <s v="High School"/>
    <n v="28"/>
    <x v="1"/>
    <s v="Mumbai"/>
    <n v="31893"/>
    <s v="Medium"/>
    <s v="Yes"/>
    <s v="Yes"/>
    <n v="35082.300000000003"/>
    <n v="33487.65"/>
  </r>
  <r>
    <n v="8"/>
    <s v="Employee_48"/>
    <x v="3"/>
    <x v="16"/>
    <s v="High School"/>
    <n v="40"/>
    <x v="1"/>
    <s v="Chennai"/>
    <n v="43711"/>
    <s v="Medium"/>
    <s v="No"/>
    <s v="No"/>
    <n v="48082.100000000006"/>
    <n v="45896.55"/>
  </r>
  <r>
    <n v="9"/>
    <s v="Employee_18"/>
    <x v="3"/>
    <x v="4"/>
    <s v="PhD"/>
    <n v="51"/>
    <x v="0"/>
    <s v="Chennai"/>
    <n v="44738"/>
    <s v="Medium"/>
    <s v="Yes"/>
    <s v="Yes"/>
    <n v="49211.8"/>
    <n v="46974.9"/>
  </r>
  <r>
    <n v="24"/>
    <s v="Employee_13"/>
    <x v="3"/>
    <x v="17"/>
    <s v="Master"/>
    <n v="23"/>
    <x v="0"/>
    <s v="Hyderabad"/>
    <n v="72333"/>
    <s v="High"/>
    <s v="No"/>
    <s v="No"/>
    <n v="79566.3"/>
    <n v="75949.650000000009"/>
  </r>
  <r>
    <n v="27"/>
    <s v="Employee_22"/>
    <x v="3"/>
    <x v="8"/>
    <s v="Master"/>
    <n v="54"/>
    <x v="0"/>
    <s v="Delhi"/>
    <n v="79045"/>
    <s v="High"/>
    <s v="Yes"/>
    <s v="Yes"/>
    <n v="86949.5"/>
    <n v="82997.25"/>
  </r>
  <r>
    <n v="31"/>
    <s v="Employee_4"/>
    <x v="3"/>
    <x v="2"/>
    <s v="PhD"/>
    <n v="44"/>
    <x v="1"/>
    <s v="Delhi"/>
    <n v="95091"/>
    <s v="High"/>
    <s v="Yes"/>
    <s v="Yes"/>
    <n v="104600.1"/>
    <n v="99845.55"/>
  </r>
  <r>
    <n v="32"/>
    <s v="Employee_2"/>
    <x v="3"/>
    <x v="10"/>
    <s v="Bachelor"/>
    <n v="25"/>
    <x v="0"/>
    <s v="Bangalore"/>
    <n v="95271"/>
    <s v="High"/>
    <s v="Yes"/>
    <s v="Yes"/>
    <n v="104798.1"/>
    <n v="100034.55"/>
  </r>
  <r>
    <n v="33"/>
    <s v="Employee_36"/>
    <x v="3"/>
    <x v="16"/>
    <s v="Master"/>
    <n v="45"/>
    <x v="0"/>
    <s v="Delhi"/>
    <n v="98744"/>
    <s v="High"/>
    <s v="No"/>
    <s v="No"/>
    <n v="108618.40000000001"/>
    <n v="103681.20000000001"/>
  </r>
  <r>
    <n v="46"/>
    <s v="Employee_5"/>
    <x v="3"/>
    <x v="9"/>
    <s v="Master"/>
    <n v="36"/>
    <x v="0"/>
    <s v="Delhi"/>
    <n v="132450"/>
    <s v="High"/>
    <s v="Yes"/>
    <s v="Yes"/>
    <n v="145695"/>
    <n v="139072.5"/>
  </r>
  <r>
    <n v="50"/>
    <s v="Employee_38"/>
    <x v="3"/>
    <x v="15"/>
    <s v="Master"/>
    <n v="23"/>
    <x v="1"/>
    <s v="Mumbai"/>
    <n v="149123"/>
    <s v="High"/>
    <s v="Yes"/>
    <s v="Yes"/>
    <n v="164035.30000000002"/>
    <n v="156579.15"/>
  </r>
  <r>
    <n v="7"/>
    <s v="Employee_39"/>
    <x v="4"/>
    <x v="16"/>
    <s v="Master"/>
    <n v="24"/>
    <x v="1"/>
    <s v="Mumbai"/>
    <n v="43589"/>
    <s v="Medium"/>
    <s v="No"/>
    <s v="No"/>
    <n v="47947.9"/>
    <n v="45768.450000000004"/>
  </r>
  <r>
    <n v="11"/>
    <s v="Employee_19"/>
    <x v="4"/>
    <x v="17"/>
    <s v="PhD"/>
    <n v="32"/>
    <x v="1"/>
    <s v="Chennai"/>
    <n v="55746"/>
    <s v="Medium"/>
    <s v="No"/>
    <s v="No"/>
    <n v="61320.600000000006"/>
    <n v="58533.3"/>
  </r>
  <r>
    <n v="14"/>
    <s v="Employee_42"/>
    <x v="4"/>
    <x v="18"/>
    <s v="PhD"/>
    <n v="23"/>
    <x v="1"/>
    <s v="Chennai"/>
    <n v="61212"/>
    <s v="Medium"/>
    <s v="Yes"/>
    <s v="Yes"/>
    <n v="67333.200000000012"/>
    <n v="64272.600000000006"/>
  </r>
  <r>
    <n v="15"/>
    <s v="Employee_24"/>
    <x v="4"/>
    <x v="9"/>
    <s v="Master"/>
    <n v="48"/>
    <x v="1"/>
    <s v="Bangalore"/>
    <n v="64790"/>
    <s v="Medium"/>
    <s v="Yes"/>
    <s v="Yes"/>
    <n v="71269"/>
    <n v="68029.5"/>
  </r>
  <r>
    <n v="30"/>
    <s v="Employee_46"/>
    <x v="4"/>
    <x v="3"/>
    <s v="PhD"/>
    <n v="54"/>
    <x v="0"/>
    <s v="Hyderabad"/>
    <n v="88208"/>
    <s v="High"/>
    <s v="No"/>
    <s v="Yes"/>
    <n v="97028.800000000003"/>
    <n v="92618.400000000009"/>
  </r>
  <r>
    <n v="47"/>
    <s v="Employee_25"/>
    <x v="4"/>
    <x v="2"/>
    <s v="High School"/>
    <n v="34"/>
    <x v="0"/>
    <s v="Bangalore"/>
    <n v="132455"/>
    <s v="High"/>
    <s v="Yes"/>
    <s v="Yes"/>
    <n v="145700.5"/>
    <n v="139077.75"/>
  </r>
  <r>
    <n v="48"/>
    <s v="Employee_34"/>
    <x v="4"/>
    <x v="9"/>
    <s v="Bachelor"/>
    <n v="53"/>
    <x v="0"/>
    <s v="Delhi"/>
    <n v="134616"/>
    <s v="High"/>
    <s v="Yes"/>
    <s v="Yes"/>
    <n v="148077.6"/>
    <n v="141346.8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Employee_49"/>
    <x v="0"/>
    <n v="5"/>
    <s v="PhD"/>
    <n v="23"/>
    <s v="Female"/>
    <s v="Hyderabad"/>
    <n v="28420"/>
    <s v="Low"/>
    <s v="No"/>
    <s v="Yes"/>
  </r>
  <r>
    <n v="2"/>
    <s v="Employee_14"/>
    <x v="0"/>
    <n v="6"/>
    <s v="Bachelor"/>
    <n v="27"/>
    <s v="Male"/>
    <s v="Delhi"/>
    <n v="28436"/>
    <s v="Low"/>
    <s v="Yes"/>
    <s v="Yes"/>
  </r>
  <r>
    <n v="12"/>
    <s v="Employee_45"/>
    <x v="0"/>
    <n v="8"/>
    <s v="Master"/>
    <n v="53"/>
    <s v="Male"/>
    <s v="Delhi"/>
    <n v="57635"/>
    <s v="Medium"/>
    <s v="Yes"/>
    <s v="Yes"/>
  </r>
  <r>
    <n v="13"/>
    <s v="Employee_47"/>
    <x v="0"/>
    <n v="3"/>
    <s v="Master"/>
    <n v="22"/>
    <s v="Female"/>
    <s v="Delhi"/>
    <n v="58828"/>
    <s v="Medium"/>
    <s v="No"/>
    <s v="Yes"/>
  </r>
  <r>
    <n v="17"/>
    <s v="Employee_6"/>
    <x v="0"/>
    <n v="3"/>
    <s v="High School"/>
    <n v="50"/>
    <s v="Male"/>
    <s v="Mumbai"/>
    <n v="65818"/>
    <s v="Medium"/>
    <s v="No"/>
    <s v="Yes"/>
  </r>
  <r>
    <n v="18"/>
    <s v="Employee_40"/>
    <x v="0"/>
    <n v="12"/>
    <s v="Bachelor"/>
    <n v="38"/>
    <s v="Female"/>
    <s v="Mumbai"/>
    <n v="68484"/>
    <s v="Medium"/>
    <s v="Yes"/>
    <s v="Yes"/>
  </r>
  <r>
    <n v="23"/>
    <s v="Employee_44"/>
    <x v="0"/>
    <n v="17"/>
    <s v="Master"/>
    <n v="44"/>
    <s v="Male"/>
    <s v="Hyderabad"/>
    <n v="72202"/>
    <s v="High"/>
    <s v="Yes"/>
    <s v="Yes"/>
  </r>
  <r>
    <n v="25"/>
    <s v="Employee_21"/>
    <x v="0"/>
    <n v="4"/>
    <s v="Master"/>
    <n v="46"/>
    <s v="Female"/>
    <s v="Delhi"/>
    <n v="73404"/>
    <s v="High"/>
    <s v="No"/>
    <s v="Yes"/>
  </r>
  <r>
    <n v="36"/>
    <s v="Employee_16"/>
    <x v="0"/>
    <n v="4"/>
    <s v="High School"/>
    <n v="49"/>
    <s v="Female"/>
    <s v="Delhi"/>
    <n v="101213"/>
    <s v="High"/>
    <s v="No"/>
    <s v="Yes"/>
  </r>
  <r>
    <n v="40"/>
    <s v="Employee_28"/>
    <x v="0"/>
    <n v="16"/>
    <s v="Master"/>
    <n v="29"/>
    <s v="Female"/>
    <s v="Hyderabad"/>
    <n v="118179"/>
    <s v="High"/>
    <s v="Yes"/>
    <s v="Yes"/>
  </r>
  <r>
    <n v="3"/>
    <s v="Employee_26"/>
    <x v="1"/>
    <n v="14"/>
    <s v="Master"/>
    <n v="24"/>
    <s v="Male"/>
    <s v="Hyderabad"/>
    <n v="30600"/>
    <s v="Medium"/>
    <s v="Yes"/>
    <s v="Yes"/>
  </r>
  <r>
    <n v="6"/>
    <s v="Employee_9"/>
    <x v="1"/>
    <n v="4"/>
    <s v="Bachelor"/>
    <n v="53"/>
    <s v="Male"/>
    <s v="Hyderabad"/>
    <n v="42429"/>
    <s v="Medium"/>
    <s v="No"/>
    <s v="Yes"/>
  </r>
  <r>
    <n v="10"/>
    <s v="Employee_8"/>
    <x v="1"/>
    <n v="17"/>
    <s v="PhD"/>
    <n v="34"/>
    <s v="Female"/>
    <s v="Bangalore"/>
    <n v="44830"/>
    <s v="Medium"/>
    <s v="Yes"/>
    <s v="Yes"/>
  </r>
  <r>
    <n v="20"/>
    <s v="Employee_3"/>
    <x v="1"/>
    <n v="12"/>
    <s v="High School"/>
    <n v="51"/>
    <s v="Female"/>
    <s v="Hyderabad"/>
    <n v="69064"/>
    <s v="Medium"/>
    <s v="Yes"/>
    <s v="Yes"/>
  </r>
  <r>
    <n v="21"/>
    <s v="Employee_7"/>
    <x v="1"/>
    <n v="14"/>
    <s v="PhD"/>
    <n v="57"/>
    <s v="Male"/>
    <s v="Mumbai"/>
    <n v="70525"/>
    <s v="High"/>
    <s v="Yes"/>
    <s v="Yes"/>
  </r>
  <r>
    <n v="22"/>
    <s v="Employee_31"/>
    <x v="1"/>
    <n v="15"/>
    <s v="Bachelor"/>
    <n v="54"/>
    <s v="Female"/>
    <s v="Hyderabad"/>
    <n v="70714"/>
    <s v="High"/>
    <s v="Yes"/>
    <s v="Yes"/>
  </r>
  <r>
    <n v="28"/>
    <s v="Employee_37"/>
    <x v="1"/>
    <n v="7"/>
    <s v="High School"/>
    <n v="33"/>
    <s v="Male"/>
    <s v="Chennai"/>
    <n v="81491"/>
    <s v="High"/>
    <s v="Yes"/>
    <s v="Yes"/>
  </r>
  <r>
    <n v="37"/>
    <s v="Employee_12"/>
    <x v="1"/>
    <n v="4"/>
    <s v="Master"/>
    <n v="49"/>
    <s v="Female"/>
    <s v="Hyderabad"/>
    <n v="104909"/>
    <s v="High"/>
    <s v="No"/>
    <s v="Yes"/>
  </r>
  <r>
    <n v="41"/>
    <s v="Employee_27"/>
    <x v="1"/>
    <n v="8"/>
    <s v="Bachelor"/>
    <n v="27"/>
    <s v="Female"/>
    <s v="Delhi"/>
    <n v="119660"/>
    <s v="High"/>
    <s v="Yes"/>
    <s v="Yes"/>
  </r>
  <r>
    <n v="45"/>
    <s v="Employee_35"/>
    <x v="1"/>
    <n v="13"/>
    <s v="Master"/>
    <n v="53"/>
    <s v="Male"/>
    <s v="Bangalore"/>
    <n v="130983"/>
    <s v="High"/>
    <s v="Yes"/>
    <s v="Yes"/>
  </r>
  <r>
    <n v="4"/>
    <s v="Employee_17"/>
    <x v="2"/>
    <n v="18"/>
    <s v="Master"/>
    <n v="41"/>
    <s v="Female"/>
    <s v="Hyderabad"/>
    <n v="30895"/>
    <s v="Medium"/>
    <s v="Yes"/>
    <s v="Yes"/>
  </r>
  <r>
    <n v="16"/>
    <s v="Employee_29"/>
    <x v="2"/>
    <n v="13"/>
    <s v="High School"/>
    <n v="48"/>
    <s v="Male"/>
    <s v="Bangalore"/>
    <n v="65764"/>
    <s v="Medium"/>
    <s v="Yes"/>
    <s v="Yes"/>
  </r>
  <r>
    <n v="19"/>
    <s v="Employee_43"/>
    <x v="2"/>
    <n v="19"/>
    <s v="High School"/>
    <n v="49"/>
    <s v="Female"/>
    <s v="Delhi"/>
    <n v="68525"/>
    <s v="Medium"/>
    <s v="Yes"/>
    <s v="Yes"/>
  </r>
  <r>
    <n v="26"/>
    <s v="Employee_20"/>
    <x v="2"/>
    <n v="10"/>
    <s v="Bachelor"/>
    <n v="49"/>
    <s v="Male"/>
    <s v="Bangalore"/>
    <n v="74377"/>
    <s v="High"/>
    <s v="Yes"/>
    <s v="Yes"/>
  </r>
  <r>
    <n v="29"/>
    <s v="Employee_32"/>
    <x v="2"/>
    <n v="13"/>
    <s v="Master"/>
    <n v="45"/>
    <s v="Female"/>
    <s v="Hyderabad"/>
    <n v="81835"/>
    <s v="High"/>
    <s v="Yes"/>
    <s v="Yes"/>
  </r>
  <r>
    <n v="34"/>
    <s v="Employee_15"/>
    <x v="2"/>
    <n v="10"/>
    <s v="PhD"/>
    <n v="49"/>
    <s v="Female"/>
    <s v="Mumbai"/>
    <n v="99290"/>
    <s v="High"/>
    <s v="Yes"/>
    <s v="Yes"/>
  </r>
  <r>
    <n v="35"/>
    <s v="Employee_30"/>
    <x v="2"/>
    <n v="18"/>
    <s v="High School"/>
    <n v="30"/>
    <s v="Male"/>
    <s v="Delhi"/>
    <n v="99543"/>
    <s v="High"/>
    <s v="Yes"/>
    <s v="Yes"/>
  </r>
  <r>
    <n v="38"/>
    <s v="Employee_41"/>
    <x v="2"/>
    <n v="8"/>
    <s v="Bachelor"/>
    <n v="23"/>
    <s v="Female"/>
    <s v="Bangalore"/>
    <n v="107989"/>
    <s v="High"/>
    <s v="Yes"/>
    <s v="Yes"/>
  </r>
  <r>
    <n v="39"/>
    <s v="Employee_1"/>
    <x v="2"/>
    <n v="15"/>
    <s v="Master"/>
    <n v="53"/>
    <s v="Female"/>
    <s v="Delhi"/>
    <n v="111416"/>
    <s v="High"/>
    <s v="Yes"/>
    <s v="Yes"/>
  </r>
  <r>
    <n v="42"/>
    <s v="Employee_50"/>
    <x v="2"/>
    <n v="10"/>
    <s v="High School"/>
    <n v="47"/>
    <s v="Female"/>
    <s v="Bangalore"/>
    <n v="121752"/>
    <s v="High"/>
    <s v="Yes"/>
    <s v="Yes"/>
  </r>
  <r>
    <n v="43"/>
    <s v="Employee_23"/>
    <x v="2"/>
    <n v="16"/>
    <s v="High School"/>
    <n v="22"/>
    <s v="Male"/>
    <s v="Bangalore"/>
    <n v="122888"/>
    <s v="High"/>
    <s v="Yes"/>
    <s v="Yes"/>
  </r>
  <r>
    <n v="44"/>
    <s v="Employee_33"/>
    <x v="2"/>
    <n v="9"/>
    <s v="Master"/>
    <n v="36"/>
    <s v="Male"/>
    <s v="Bangalore"/>
    <n v="127946"/>
    <s v="High"/>
    <s v="Yes"/>
    <s v="Yes"/>
  </r>
  <r>
    <n v="49"/>
    <s v="Employee_11"/>
    <x v="2"/>
    <n v="8"/>
    <s v="PhD"/>
    <n v="43"/>
    <s v="Male"/>
    <s v="Delhi"/>
    <n v="141381"/>
    <s v="High"/>
    <s v="Yes"/>
    <s v="Yes"/>
  </r>
  <r>
    <n v="5"/>
    <s v="Employee_10"/>
    <x v="3"/>
    <n v="18"/>
    <s v="High School"/>
    <n v="28"/>
    <s v="Male"/>
    <s v="Mumbai"/>
    <n v="31893"/>
    <s v="Medium"/>
    <s v="Yes"/>
    <s v="Yes"/>
  </r>
  <r>
    <n v="8"/>
    <s v="Employee_48"/>
    <x v="3"/>
    <n v="1"/>
    <s v="High School"/>
    <n v="40"/>
    <s v="Male"/>
    <s v="Chennai"/>
    <n v="43711"/>
    <s v="Medium"/>
    <s v="No"/>
    <s v="No"/>
  </r>
  <r>
    <n v="9"/>
    <s v="Employee_18"/>
    <x v="3"/>
    <n v="12"/>
    <s v="PhD"/>
    <n v="51"/>
    <s v="Female"/>
    <s v="Chennai"/>
    <n v="44738"/>
    <s v="Medium"/>
    <s v="Yes"/>
    <s v="Yes"/>
  </r>
  <r>
    <n v="24"/>
    <s v="Employee_13"/>
    <x v="3"/>
    <n v="2"/>
    <s v="Master"/>
    <n v="23"/>
    <s v="Female"/>
    <s v="Hyderabad"/>
    <n v="72333"/>
    <s v="High"/>
    <s v="No"/>
    <s v="No"/>
  </r>
  <r>
    <n v="27"/>
    <s v="Employee_22"/>
    <x v="3"/>
    <n v="14"/>
    <s v="Master"/>
    <n v="54"/>
    <s v="Female"/>
    <s v="Delhi"/>
    <n v="79045"/>
    <s v="High"/>
    <s v="Yes"/>
    <s v="Yes"/>
  </r>
  <r>
    <n v="31"/>
    <s v="Employee_4"/>
    <x v="3"/>
    <n v="8"/>
    <s v="PhD"/>
    <n v="44"/>
    <s v="Male"/>
    <s v="Delhi"/>
    <n v="95091"/>
    <s v="High"/>
    <s v="Yes"/>
    <s v="Yes"/>
  </r>
  <r>
    <n v="32"/>
    <s v="Employee_2"/>
    <x v="3"/>
    <n v="7"/>
    <s v="Bachelor"/>
    <n v="25"/>
    <s v="Female"/>
    <s v="Bangalore"/>
    <n v="95271"/>
    <s v="High"/>
    <s v="Yes"/>
    <s v="Yes"/>
  </r>
  <r>
    <n v="33"/>
    <s v="Employee_36"/>
    <x v="3"/>
    <n v="1"/>
    <s v="Master"/>
    <n v="45"/>
    <s v="Female"/>
    <s v="Delhi"/>
    <n v="98744"/>
    <s v="High"/>
    <s v="No"/>
    <s v="No"/>
  </r>
  <r>
    <n v="46"/>
    <s v="Employee_5"/>
    <x v="3"/>
    <n v="15"/>
    <s v="Master"/>
    <n v="36"/>
    <s v="Female"/>
    <s v="Delhi"/>
    <n v="132450"/>
    <s v="High"/>
    <s v="Yes"/>
    <s v="Yes"/>
  </r>
  <r>
    <n v="50"/>
    <s v="Employee_38"/>
    <x v="3"/>
    <n v="9"/>
    <s v="Master"/>
    <n v="23"/>
    <s v="Male"/>
    <s v="Mumbai"/>
    <n v="149123"/>
    <s v="High"/>
    <s v="Yes"/>
    <s v="Yes"/>
  </r>
  <r>
    <n v="7"/>
    <s v="Employee_39"/>
    <x v="4"/>
    <n v="1"/>
    <s v="Master"/>
    <n v="24"/>
    <s v="Male"/>
    <s v="Mumbai"/>
    <n v="43589"/>
    <s v="Medium"/>
    <s v="No"/>
    <s v="No"/>
  </r>
  <r>
    <n v="11"/>
    <s v="Employee_19"/>
    <x v="4"/>
    <n v="2"/>
    <s v="PhD"/>
    <n v="32"/>
    <s v="Male"/>
    <s v="Chennai"/>
    <n v="55746"/>
    <s v="Medium"/>
    <s v="No"/>
    <s v="No"/>
  </r>
  <r>
    <n v="14"/>
    <s v="Employee_42"/>
    <x v="4"/>
    <n v="11"/>
    <s v="PhD"/>
    <n v="23"/>
    <s v="Male"/>
    <s v="Chennai"/>
    <n v="61212"/>
    <s v="Medium"/>
    <s v="Yes"/>
    <s v="Yes"/>
  </r>
  <r>
    <n v="15"/>
    <s v="Employee_24"/>
    <x v="4"/>
    <n v="15"/>
    <s v="Master"/>
    <n v="48"/>
    <s v="Male"/>
    <s v="Bangalore"/>
    <n v="64790"/>
    <s v="Medium"/>
    <s v="Yes"/>
    <s v="Yes"/>
  </r>
  <r>
    <n v="30"/>
    <s v="Employee_46"/>
    <x v="4"/>
    <n v="3"/>
    <s v="PhD"/>
    <n v="54"/>
    <s v="Female"/>
    <s v="Hyderabad"/>
    <n v="88208"/>
    <s v="High"/>
    <s v="No"/>
    <s v="Yes"/>
  </r>
  <r>
    <n v="47"/>
    <s v="Employee_25"/>
    <x v="4"/>
    <n v="8"/>
    <s v="High School"/>
    <n v="34"/>
    <s v="Female"/>
    <s v="Bangalore"/>
    <n v="132455"/>
    <s v="High"/>
    <s v="Yes"/>
    <s v="Yes"/>
  </r>
  <r>
    <n v="48"/>
    <s v="Employee_34"/>
    <x v="4"/>
    <n v="15"/>
    <s v="Bachelor"/>
    <n v="53"/>
    <s v="Female"/>
    <s v="Delhi"/>
    <n v="134616"/>
    <s v="High"/>
    <s v="Yes"/>
    <s v="Y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7"/>
    <s v="Employee_6"/>
    <x v="0"/>
    <n v="3"/>
    <s v="High School"/>
    <n v="50"/>
    <s v="Male"/>
    <s v="Mumbai"/>
    <n v="65818"/>
    <s v="Medium"/>
    <s v="No"/>
    <s v="Yes"/>
    <n v="72399.8"/>
    <n v="69108.900000000009"/>
    <n v="1"/>
    <n v="2"/>
    <n v="2"/>
    <s v="High School"/>
    <x v="0"/>
    <s v="Medium"/>
  </r>
  <r>
    <n v="36"/>
    <s v="Employee_16"/>
    <x v="0"/>
    <n v="4"/>
    <s v="High School"/>
    <n v="49"/>
    <s v="Female"/>
    <s v="Delhi"/>
    <n v="101213"/>
    <s v="High"/>
    <s v="No"/>
    <s v="Yes"/>
    <n v="111334.3"/>
    <n v="106273.65000000001"/>
    <n v="1"/>
    <n v="2"/>
    <n v="3"/>
    <s v="High School"/>
    <x v="0"/>
    <s v="High"/>
  </r>
  <r>
    <n v="2"/>
    <s v="Employee_14"/>
    <x v="0"/>
    <n v="6"/>
    <s v="Bachelor"/>
    <n v="27"/>
    <s v="Male"/>
    <s v="Delhi"/>
    <n v="28436"/>
    <s v="Low"/>
    <s v="Yes"/>
    <s v="Yes"/>
    <n v="31279.600000000002"/>
    <n v="29857.800000000003"/>
    <n v="2"/>
    <n v="3"/>
    <n v="1"/>
    <s v="Bachelor"/>
    <x v="1"/>
    <s v="Low"/>
  </r>
  <r>
    <n v="18"/>
    <s v="Employee_40"/>
    <x v="0"/>
    <n v="12"/>
    <s v="Bachelor"/>
    <n v="38"/>
    <s v="Female"/>
    <s v="Mumbai"/>
    <n v="68484"/>
    <s v="Medium"/>
    <s v="Yes"/>
    <s v="Yes"/>
    <n v="75332.400000000009"/>
    <n v="71908.2"/>
    <n v="2"/>
    <n v="3"/>
    <n v="2"/>
    <s v="Bachelor"/>
    <x v="1"/>
    <s v="Medium"/>
  </r>
  <r>
    <n v="12"/>
    <s v="Employee_45"/>
    <x v="0"/>
    <n v="8"/>
    <s v="Master"/>
    <n v="53"/>
    <s v="Male"/>
    <s v="Delhi"/>
    <n v="57635"/>
    <s v="Medium"/>
    <s v="Yes"/>
    <s v="Yes"/>
    <n v="63398.500000000007"/>
    <n v="60516.75"/>
    <n v="3"/>
    <n v="3"/>
    <n v="2"/>
    <s v="Master"/>
    <x v="1"/>
    <s v="Medium"/>
  </r>
  <r>
    <n v="23"/>
    <s v="Employee_44"/>
    <x v="0"/>
    <n v="17"/>
    <s v="Master"/>
    <n v="44"/>
    <s v="Male"/>
    <s v="Hyderabad"/>
    <n v="72202"/>
    <s v="High"/>
    <s v="Yes"/>
    <s v="Yes"/>
    <n v="79422.200000000012"/>
    <n v="75812.100000000006"/>
    <n v="3"/>
    <n v="3"/>
    <n v="3"/>
    <s v="Master"/>
    <x v="1"/>
    <s v="High"/>
  </r>
  <r>
    <n v="13"/>
    <s v="Employee_47"/>
    <x v="0"/>
    <n v="3"/>
    <s v="Master"/>
    <n v="22"/>
    <s v="Female"/>
    <s v="Delhi"/>
    <n v="58828"/>
    <s v="Medium"/>
    <s v="No"/>
    <s v="Yes"/>
    <n v="64710.8"/>
    <n v="61769.4"/>
    <n v="3"/>
    <n v="2"/>
    <n v="2"/>
    <s v="Master"/>
    <x v="0"/>
    <s v="Medium"/>
  </r>
  <r>
    <n v="25"/>
    <s v="Employee_21"/>
    <x v="0"/>
    <n v="4"/>
    <s v="Master"/>
    <n v="46"/>
    <s v="Female"/>
    <s v="Delhi"/>
    <n v="73404"/>
    <s v="High"/>
    <s v="No"/>
    <s v="Yes"/>
    <n v="80744.400000000009"/>
    <n v="77074.2"/>
    <n v="3"/>
    <n v="2"/>
    <n v="3"/>
    <s v="Master"/>
    <x v="0"/>
    <s v="High"/>
  </r>
  <r>
    <n v="40"/>
    <s v="Employee_28"/>
    <x v="0"/>
    <n v="16"/>
    <s v="Master"/>
    <n v="29"/>
    <s v="Female"/>
    <s v="Hyderabad"/>
    <n v="118179"/>
    <s v="High"/>
    <s v="Yes"/>
    <s v="Yes"/>
    <n v="129996.90000000001"/>
    <n v="124087.95000000001"/>
    <n v="3"/>
    <n v="3"/>
    <n v="3"/>
    <s v="Master"/>
    <x v="1"/>
    <s v="High"/>
  </r>
  <r>
    <n v="1"/>
    <s v="Employee_49"/>
    <x v="0"/>
    <n v="5"/>
    <s v="PhD"/>
    <n v="23"/>
    <s v="Female"/>
    <s v="Hyderabad"/>
    <n v="28420"/>
    <s v="Low"/>
    <s v="No"/>
    <s v="Yes"/>
    <n v="31262.000000000004"/>
    <n v="29841"/>
    <n v="4"/>
    <n v="2"/>
    <n v="1"/>
    <s v="PhD"/>
    <x v="0"/>
    <s v="Low"/>
  </r>
  <r>
    <n v="28"/>
    <s v="Employee_37"/>
    <x v="1"/>
    <n v="7"/>
    <s v="High School"/>
    <n v="33"/>
    <s v="Male"/>
    <s v="Chennai"/>
    <n v="81491"/>
    <s v="High"/>
    <s v="Yes"/>
    <s v="Yes"/>
    <n v="89640.1"/>
    <n v="85565.55"/>
    <n v="1"/>
    <n v="3"/>
    <n v="3"/>
    <s v="High School"/>
    <x v="1"/>
    <s v="High"/>
  </r>
  <r>
    <n v="20"/>
    <s v="Employee_3"/>
    <x v="1"/>
    <n v="12"/>
    <s v="High School"/>
    <n v="51"/>
    <s v="Female"/>
    <s v="Hyderabad"/>
    <n v="69064"/>
    <s v="Medium"/>
    <s v="Yes"/>
    <s v="Yes"/>
    <n v="75970.400000000009"/>
    <n v="72517.2"/>
    <n v="1"/>
    <n v="3"/>
    <n v="2"/>
    <s v="High School"/>
    <x v="1"/>
    <s v="Medium"/>
  </r>
  <r>
    <n v="6"/>
    <s v="Employee_9"/>
    <x v="1"/>
    <n v="4"/>
    <s v="Bachelor"/>
    <n v="53"/>
    <s v="Male"/>
    <s v="Hyderabad"/>
    <n v="42429"/>
    <s v="Medium"/>
    <s v="No"/>
    <s v="Yes"/>
    <n v="46671.9"/>
    <n v="44550.450000000004"/>
    <n v="2"/>
    <n v="2"/>
    <n v="2"/>
    <s v="Bachelor"/>
    <x v="0"/>
    <s v="Medium"/>
  </r>
  <r>
    <n v="22"/>
    <s v="Employee_31"/>
    <x v="1"/>
    <n v="15"/>
    <s v="Bachelor"/>
    <n v="54"/>
    <s v="Female"/>
    <s v="Hyderabad"/>
    <n v="70714"/>
    <s v="High"/>
    <s v="Yes"/>
    <s v="Yes"/>
    <n v="77785.400000000009"/>
    <n v="74249.7"/>
    <n v="2"/>
    <n v="3"/>
    <n v="3"/>
    <s v="Bachelor"/>
    <x v="1"/>
    <s v="High"/>
  </r>
  <r>
    <n v="41"/>
    <s v="Employee_27"/>
    <x v="1"/>
    <n v="8"/>
    <s v="Bachelor"/>
    <n v="27"/>
    <s v="Female"/>
    <s v="Delhi"/>
    <n v="119660"/>
    <s v="High"/>
    <s v="Yes"/>
    <s v="Yes"/>
    <n v="131626"/>
    <n v="125643"/>
    <n v="2"/>
    <n v="3"/>
    <n v="3"/>
    <s v="Bachelor"/>
    <x v="1"/>
    <s v="High"/>
  </r>
  <r>
    <n v="3"/>
    <s v="Employee_26"/>
    <x v="1"/>
    <n v="14"/>
    <s v="Master"/>
    <n v="24"/>
    <s v="Male"/>
    <s v="Hyderabad"/>
    <n v="30600"/>
    <s v="Medium"/>
    <s v="Yes"/>
    <s v="Yes"/>
    <n v="33660"/>
    <n v="32130"/>
    <n v="3"/>
    <n v="3"/>
    <n v="2"/>
    <s v="Master"/>
    <x v="1"/>
    <s v="Medium"/>
  </r>
  <r>
    <n v="45"/>
    <s v="Employee_35"/>
    <x v="1"/>
    <n v="13"/>
    <s v="Master"/>
    <n v="53"/>
    <s v="Male"/>
    <s v="Bangalore"/>
    <n v="130983"/>
    <s v="High"/>
    <s v="Yes"/>
    <s v="Yes"/>
    <n v="144081.30000000002"/>
    <n v="137532.15"/>
    <n v="3"/>
    <n v="3"/>
    <n v="3"/>
    <s v="Master"/>
    <x v="1"/>
    <s v="High"/>
  </r>
  <r>
    <n v="37"/>
    <s v="Employee_12"/>
    <x v="1"/>
    <n v="4"/>
    <s v="Master"/>
    <n v="49"/>
    <s v="Female"/>
    <s v="Hyderabad"/>
    <n v="104909"/>
    <s v="High"/>
    <s v="No"/>
    <s v="Yes"/>
    <n v="115399.90000000001"/>
    <n v="110154.45000000001"/>
    <n v="3"/>
    <n v="2"/>
    <n v="3"/>
    <s v="Master"/>
    <x v="0"/>
    <s v="High"/>
  </r>
  <r>
    <n v="21"/>
    <s v="Employee_7"/>
    <x v="1"/>
    <n v="14"/>
    <s v="PhD"/>
    <n v="57"/>
    <s v="Male"/>
    <s v="Mumbai"/>
    <n v="70525"/>
    <s v="High"/>
    <s v="Yes"/>
    <s v="Yes"/>
    <n v="77577.5"/>
    <n v="74051.25"/>
    <n v="4"/>
    <n v="3"/>
    <n v="3"/>
    <s v="PhD"/>
    <x v="1"/>
    <s v="High"/>
  </r>
  <r>
    <n v="10"/>
    <s v="Employee_8"/>
    <x v="1"/>
    <n v="17"/>
    <s v="PhD"/>
    <n v="34"/>
    <s v="Female"/>
    <s v="Bangalore"/>
    <n v="44830"/>
    <s v="Medium"/>
    <s v="Yes"/>
    <s v="Yes"/>
    <n v="49313.000000000007"/>
    <n v="47071.5"/>
    <n v="4"/>
    <n v="3"/>
    <n v="2"/>
    <s v="PhD"/>
    <x v="1"/>
    <s v="Medium"/>
  </r>
  <r>
    <n v="16"/>
    <s v="Employee_29"/>
    <x v="2"/>
    <n v="13"/>
    <s v="High School"/>
    <n v="48"/>
    <s v="Male"/>
    <s v="Bangalore"/>
    <n v="65764"/>
    <s v="Medium"/>
    <s v="Yes"/>
    <s v="Yes"/>
    <n v="72340.400000000009"/>
    <n v="69052.2"/>
    <n v="1"/>
    <n v="3"/>
    <n v="2"/>
    <s v="High School"/>
    <x v="1"/>
    <s v="Medium"/>
  </r>
  <r>
    <n v="35"/>
    <s v="Employee_30"/>
    <x v="2"/>
    <n v="18"/>
    <s v="High School"/>
    <n v="30"/>
    <s v="Male"/>
    <s v="Delhi"/>
    <n v="99543"/>
    <s v="High"/>
    <s v="Yes"/>
    <s v="Yes"/>
    <n v="109497.3"/>
    <n v="104520.15000000001"/>
    <n v="1"/>
    <n v="3"/>
    <n v="3"/>
    <s v="High School"/>
    <x v="1"/>
    <s v="High"/>
  </r>
  <r>
    <n v="43"/>
    <s v="Employee_23"/>
    <x v="2"/>
    <n v="16"/>
    <s v="High School"/>
    <n v="22"/>
    <s v="Male"/>
    <s v="Bangalore"/>
    <n v="122888"/>
    <s v="High"/>
    <s v="Yes"/>
    <s v="Yes"/>
    <n v="135176.80000000002"/>
    <n v="129032.40000000001"/>
    <n v="1"/>
    <n v="3"/>
    <n v="3"/>
    <s v="High School"/>
    <x v="1"/>
    <s v="High"/>
  </r>
  <r>
    <n v="19"/>
    <s v="Employee_43"/>
    <x v="2"/>
    <n v="19"/>
    <s v="High School"/>
    <n v="49"/>
    <s v="Female"/>
    <s v="Delhi"/>
    <n v="68525"/>
    <s v="Medium"/>
    <s v="Yes"/>
    <s v="Yes"/>
    <n v="75377.5"/>
    <n v="71951.25"/>
    <n v="1"/>
    <n v="3"/>
    <n v="2"/>
    <s v="High School"/>
    <x v="1"/>
    <s v="Medium"/>
  </r>
  <r>
    <n v="42"/>
    <s v="Employee_50"/>
    <x v="2"/>
    <n v="10"/>
    <s v="High School"/>
    <n v="47"/>
    <s v="Female"/>
    <s v="Bangalore"/>
    <n v="121752"/>
    <s v="High"/>
    <s v="Yes"/>
    <s v="Yes"/>
    <n v="133927.20000000001"/>
    <n v="127839.6"/>
    <n v="1"/>
    <n v="3"/>
    <n v="3"/>
    <s v="High School"/>
    <x v="1"/>
    <s v="High"/>
  </r>
  <r>
    <n v="26"/>
    <s v="Employee_20"/>
    <x v="2"/>
    <n v="10"/>
    <s v="Bachelor"/>
    <n v="49"/>
    <s v="Male"/>
    <s v="Bangalore"/>
    <n v="74377"/>
    <s v="High"/>
    <s v="Yes"/>
    <s v="Yes"/>
    <n v="81814.700000000012"/>
    <n v="78095.850000000006"/>
    <n v="2"/>
    <n v="3"/>
    <n v="3"/>
    <s v="Bachelor"/>
    <x v="1"/>
    <s v="High"/>
  </r>
  <r>
    <n v="38"/>
    <s v="Employee_41"/>
    <x v="2"/>
    <n v="8"/>
    <s v="Bachelor"/>
    <n v="23"/>
    <s v="Female"/>
    <s v="Bangalore"/>
    <n v="107989"/>
    <s v="High"/>
    <s v="Yes"/>
    <s v="Yes"/>
    <n v="118787.90000000001"/>
    <n v="113388.45000000001"/>
    <n v="2"/>
    <n v="3"/>
    <n v="3"/>
    <s v="Bachelor"/>
    <x v="1"/>
    <s v="High"/>
  </r>
  <r>
    <n v="44"/>
    <s v="Employee_33"/>
    <x v="2"/>
    <n v="9"/>
    <s v="Master"/>
    <n v="36"/>
    <s v="Male"/>
    <s v="Bangalore"/>
    <n v="127946"/>
    <s v="High"/>
    <s v="Yes"/>
    <s v="Yes"/>
    <n v="140740.6"/>
    <n v="134343.30000000002"/>
    <n v="3"/>
    <n v="3"/>
    <n v="3"/>
    <s v="Master"/>
    <x v="1"/>
    <s v="High"/>
  </r>
  <r>
    <n v="4"/>
    <s v="Employee_17"/>
    <x v="2"/>
    <n v="18"/>
    <s v="Master"/>
    <n v="41"/>
    <s v="Female"/>
    <s v="Hyderabad"/>
    <n v="30895"/>
    <s v="Medium"/>
    <s v="Yes"/>
    <s v="Yes"/>
    <n v="33984.5"/>
    <n v="32439.75"/>
    <n v="3"/>
    <n v="3"/>
    <n v="2"/>
    <s v="Master"/>
    <x v="1"/>
    <s v="Medium"/>
  </r>
  <r>
    <n v="29"/>
    <s v="Employee_32"/>
    <x v="2"/>
    <n v="13"/>
    <s v="Master"/>
    <n v="45"/>
    <s v="Female"/>
    <s v="Hyderabad"/>
    <n v="81835"/>
    <s v="High"/>
    <s v="Yes"/>
    <s v="Yes"/>
    <n v="90018.5"/>
    <n v="85926.75"/>
    <n v="3"/>
    <n v="3"/>
    <n v="3"/>
    <s v="Master"/>
    <x v="1"/>
    <s v="High"/>
  </r>
  <r>
    <n v="39"/>
    <s v="Employee_1"/>
    <x v="2"/>
    <n v="15"/>
    <s v="Master"/>
    <n v="53"/>
    <s v="Female"/>
    <s v="Delhi"/>
    <n v="111416"/>
    <s v="High"/>
    <s v="Yes"/>
    <s v="Yes"/>
    <n v="122557.6"/>
    <n v="116986.8"/>
    <n v="3"/>
    <n v="3"/>
    <n v="3"/>
    <s v="Master"/>
    <x v="1"/>
    <s v="High"/>
  </r>
  <r>
    <n v="49"/>
    <s v="Employee_11"/>
    <x v="2"/>
    <n v="8"/>
    <s v="PhD"/>
    <n v="43"/>
    <s v="Male"/>
    <s v="Delhi"/>
    <n v="141381"/>
    <s v="High"/>
    <s v="Yes"/>
    <s v="Yes"/>
    <n v="155519.1"/>
    <n v="148450.05000000002"/>
    <n v="4"/>
    <n v="3"/>
    <n v="3"/>
    <s v="PhD"/>
    <x v="1"/>
    <s v="High"/>
  </r>
  <r>
    <n v="34"/>
    <s v="Employee_15"/>
    <x v="2"/>
    <n v="10"/>
    <s v="PhD"/>
    <n v="49"/>
    <s v="Female"/>
    <s v="Mumbai"/>
    <n v="99290"/>
    <s v="High"/>
    <s v="Yes"/>
    <s v="Yes"/>
    <n v="109219.00000000001"/>
    <n v="104254.5"/>
    <n v="4"/>
    <n v="3"/>
    <n v="3"/>
    <s v="PhD"/>
    <x v="1"/>
    <s v="High"/>
  </r>
  <r>
    <n v="5"/>
    <s v="Employee_10"/>
    <x v="3"/>
    <n v="18"/>
    <s v="High School"/>
    <n v="28"/>
    <s v="Male"/>
    <s v="Mumbai"/>
    <n v="31893"/>
    <s v="Medium"/>
    <s v="Yes"/>
    <s v="Yes"/>
    <n v="35082.300000000003"/>
    <n v="33487.65"/>
    <n v="1"/>
    <n v="3"/>
    <n v="2"/>
    <s v="High School"/>
    <x v="1"/>
    <s v="Medium"/>
  </r>
  <r>
    <n v="8"/>
    <s v="Employee_48"/>
    <x v="3"/>
    <n v="1"/>
    <s v="High School"/>
    <n v="40"/>
    <s v="Male"/>
    <s v="Chennai"/>
    <n v="43711"/>
    <s v="Medium"/>
    <s v="No"/>
    <s v="No"/>
    <n v="48082.100000000006"/>
    <n v="45896.55"/>
    <n v="1"/>
    <n v="1"/>
    <n v="2"/>
    <s v="High School"/>
    <x v="2"/>
    <s v="Medium"/>
  </r>
  <r>
    <n v="32"/>
    <s v="Employee_2"/>
    <x v="3"/>
    <n v="7"/>
    <s v="Bachelor"/>
    <n v="25"/>
    <s v="Female"/>
    <s v="Bangalore"/>
    <n v="95271"/>
    <s v="High"/>
    <s v="Yes"/>
    <s v="Yes"/>
    <n v="104798.1"/>
    <n v="100034.55"/>
    <n v="2"/>
    <n v="3"/>
    <n v="3"/>
    <s v="Bachelor"/>
    <x v="1"/>
    <s v="High"/>
  </r>
  <r>
    <n v="50"/>
    <s v="Employee_38"/>
    <x v="3"/>
    <n v="9"/>
    <s v="Master"/>
    <n v="23"/>
    <s v="Male"/>
    <s v="Mumbai"/>
    <n v="149123"/>
    <s v="High"/>
    <s v="Yes"/>
    <s v="Yes"/>
    <n v="164035.30000000002"/>
    <n v="156579.15"/>
    <n v="3"/>
    <n v="3"/>
    <n v="3"/>
    <s v="Master"/>
    <x v="1"/>
    <s v="High"/>
  </r>
  <r>
    <n v="24"/>
    <s v="Employee_13"/>
    <x v="3"/>
    <n v="2"/>
    <s v="Master"/>
    <n v="23"/>
    <s v="Female"/>
    <s v="Hyderabad"/>
    <n v="72333"/>
    <s v="High"/>
    <s v="No"/>
    <s v="No"/>
    <n v="79566.3"/>
    <n v="75949.650000000009"/>
    <n v="3"/>
    <n v="1"/>
    <n v="3"/>
    <s v="Master"/>
    <x v="2"/>
    <s v="High"/>
  </r>
  <r>
    <n v="27"/>
    <s v="Employee_22"/>
    <x v="3"/>
    <n v="14"/>
    <s v="Master"/>
    <n v="54"/>
    <s v="Female"/>
    <s v="Delhi"/>
    <n v="79045"/>
    <s v="High"/>
    <s v="Yes"/>
    <s v="Yes"/>
    <n v="86949.5"/>
    <n v="82997.25"/>
    <n v="3"/>
    <n v="3"/>
    <n v="3"/>
    <s v="Master"/>
    <x v="1"/>
    <s v="High"/>
  </r>
  <r>
    <n v="33"/>
    <s v="Employee_36"/>
    <x v="3"/>
    <n v="1"/>
    <s v="Master"/>
    <n v="45"/>
    <s v="Female"/>
    <s v="Delhi"/>
    <n v="98744"/>
    <s v="High"/>
    <s v="No"/>
    <s v="No"/>
    <n v="108618.40000000001"/>
    <n v="103681.20000000001"/>
    <n v="3"/>
    <n v="1"/>
    <n v="3"/>
    <s v="Master"/>
    <x v="2"/>
    <s v="High"/>
  </r>
  <r>
    <n v="46"/>
    <s v="Employee_5"/>
    <x v="3"/>
    <n v="15"/>
    <s v="Master"/>
    <n v="36"/>
    <s v="Female"/>
    <s v="Delhi"/>
    <n v="132450"/>
    <s v="High"/>
    <s v="Yes"/>
    <s v="Yes"/>
    <n v="145695"/>
    <n v="139072.5"/>
    <n v="3"/>
    <n v="3"/>
    <n v="3"/>
    <s v="Master"/>
    <x v="1"/>
    <s v="High"/>
  </r>
  <r>
    <n v="31"/>
    <s v="Employee_4"/>
    <x v="3"/>
    <n v="8"/>
    <s v="PhD"/>
    <n v="44"/>
    <s v="Male"/>
    <s v="Delhi"/>
    <n v="95091"/>
    <s v="High"/>
    <s v="Yes"/>
    <s v="Yes"/>
    <n v="104600.1"/>
    <n v="99845.55"/>
    <n v="4"/>
    <n v="3"/>
    <n v="3"/>
    <s v="PhD"/>
    <x v="1"/>
    <s v="High"/>
  </r>
  <r>
    <n v="9"/>
    <s v="Employee_18"/>
    <x v="3"/>
    <n v="12"/>
    <s v="PhD"/>
    <n v="51"/>
    <s v="Female"/>
    <s v="Chennai"/>
    <n v="44738"/>
    <s v="Medium"/>
    <s v="Yes"/>
    <s v="Yes"/>
    <n v="49211.8"/>
    <n v="46974.9"/>
    <n v="4"/>
    <n v="3"/>
    <n v="2"/>
    <s v="PhD"/>
    <x v="1"/>
    <s v="Medium"/>
  </r>
  <r>
    <n v="47"/>
    <s v="Employee_25"/>
    <x v="4"/>
    <n v="8"/>
    <s v="High School"/>
    <n v="34"/>
    <s v="Female"/>
    <s v="Bangalore"/>
    <n v="132455"/>
    <s v="High"/>
    <s v="Yes"/>
    <s v="Yes"/>
    <n v="145700.5"/>
    <n v="139077.75"/>
    <n v="1"/>
    <n v="3"/>
    <n v="3"/>
    <s v="High School"/>
    <x v="1"/>
    <s v="High"/>
  </r>
  <r>
    <n v="48"/>
    <s v="Employee_34"/>
    <x v="4"/>
    <n v="15"/>
    <s v="Bachelor"/>
    <n v="53"/>
    <s v="Female"/>
    <s v="Delhi"/>
    <n v="134616"/>
    <s v="High"/>
    <s v="Yes"/>
    <s v="Yes"/>
    <n v="148077.6"/>
    <n v="141346.80000000002"/>
    <n v="2"/>
    <n v="3"/>
    <n v="3"/>
    <s v="Bachelor"/>
    <x v="1"/>
    <s v="High"/>
  </r>
  <r>
    <n v="7"/>
    <s v="Employee_39"/>
    <x v="4"/>
    <n v="1"/>
    <s v="Master"/>
    <n v="24"/>
    <s v="Male"/>
    <s v="Mumbai"/>
    <n v="43589"/>
    <s v="Medium"/>
    <s v="No"/>
    <s v="No"/>
    <n v="47947.9"/>
    <n v="45768.450000000004"/>
    <n v="3"/>
    <n v="1"/>
    <n v="2"/>
    <s v="Master"/>
    <x v="2"/>
    <s v="Medium"/>
  </r>
  <r>
    <n v="15"/>
    <s v="Employee_24"/>
    <x v="4"/>
    <n v="15"/>
    <s v="Master"/>
    <n v="48"/>
    <s v="Male"/>
    <s v="Bangalore"/>
    <n v="64790"/>
    <s v="Medium"/>
    <s v="Yes"/>
    <s v="Yes"/>
    <n v="71269"/>
    <n v="68029.5"/>
    <n v="3"/>
    <n v="3"/>
    <n v="2"/>
    <s v="Master"/>
    <x v="1"/>
    <s v="Medium"/>
  </r>
  <r>
    <n v="11"/>
    <s v="Employee_19"/>
    <x v="4"/>
    <n v="2"/>
    <s v="PhD"/>
    <n v="32"/>
    <s v="Male"/>
    <s v="Chennai"/>
    <n v="55746"/>
    <s v="Medium"/>
    <s v="No"/>
    <s v="No"/>
    <n v="61320.600000000006"/>
    <n v="58533.3"/>
    <n v="4"/>
    <n v="1"/>
    <n v="2"/>
    <s v="PhD"/>
    <x v="2"/>
    <s v="Medium"/>
  </r>
  <r>
    <n v="14"/>
    <s v="Employee_42"/>
    <x v="4"/>
    <n v="11"/>
    <s v="PhD"/>
    <n v="23"/>
    <s v="Male"/>
    <s v="Chennai"/>
    <n v="61212"/>
    <s v="Medium"/>
    <s v="Yes"/>
    <s v="Yes"/>
    <n v="67333.200000000012"/>
    <n v="64272.600000000006"/>
    <n v="4"/>
    <n v="3"/>
    <n v="2"/>
    <s v="PhD"/>
    <x v="1"/>
    <s v="Medium"/>
  </r>
  <r>
    <n v="30"/>
    <s v="Employee_46"/>
    <x v="4"/>
    <n v="3"/>
    <s v="PhD"/>
    <n v="54"/>
    <s v="Female"/>
    <s v="Hyderabad"/>
    <n v="88208"/>
    <s v="High"/>
    <s v="No"/>
    <s v="Yes"/>
    <n v="97028.800000000003"/>
    <n v="92618.400000000009"/>
    <n v="4"/>
    <n v="2"/>
    <n v="3"/>
    <s v="PhD"/>
    <x v="0"/>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063DC6-F2C1-44E5-B8C2-9F096DD04158}" name="PivotTable11" cacheId="4" applyNumberFormats="0" applyBorderFormats="0" applyFontFormats="0" applyPatternFormats="0" applyAlignmentFormats="0" applyWidthHeightFormats="1" dataCaption="Values" tag="c558c7ce-88e7-4172-80de-0532bbcac6c7" updatedVersion="8" minRefreshableVersion="3" rowGrandTotals="0" colGrandTotals="0" itemPrintTitles="1" createdVersion="8" indent="0" outline="1" outlineData="1" multipleFieldFilters="0" chartFormat="2" rowHeaderCaption="Education" colHeaderCaption="Experience level">
  <location ref="J26:M31" firstHeaderRow="1" firstDataRow="2" firstDataCol="1"/>
  <pivotFields count="3">
    <pivotField axis="axisRow" allDrilled="1" subtotalTop="0" showAll="0" defaultSubtotal="0" defaultAttributeDrillState="1">
      <items count="4">
        <item x="1"/>
        <item x="0"/>
        <item x="2"/>
        <item x="3"/>
      </items>
    </pivotField>
    <pivotField axis="axisCol" allDrilled="1" subtotalTop="0" showAll="0" defaultSubtotal="0" defaultAttributeDrillState="1">
      <items count="3">
        <item x="1"/>
        <item x="2"/>
        <item x="0"/>
      </items>
    </pivotField>
    <pivotField dataField="1" subtotalTop="0" showAll="0" defaultSubtotal="0"/>
  </pivotFields>
  <rowFields count="1">
    <field x="0"/>
  </rowFields>
  <rowItems count="4">
    <i>
      <x/>
    </i>
    <i>
      <x v="1"/>
    </i>
    <i>
      <x v="2"/>
    </i>
    <i>
      <x v="3"/>
    </i>
  </rowItems>
  <colFields count="1">
    <field x="1"/>
  </colFields>
  <colItems count="3">
    <i>
      <x/>
    </i>
    <i>
      <x v="1"/>
    </i>
    <i>
      <x v="2"/>
    </i>
  </colItems>
  <dataFields count="1">
    <dataField name="Average of Monthly_Salary" fld="2" subtotal="average" baseField="0" baseItem="0" numFmtId="167"/>
  </dataFields>
  <formats count="23">
    <format dxfId="119">
      <pivotArea type="all" dataOnly="0" outline="0" fieldPosition="0"/>
    </format>
    <format dxfId="118">
      <pivotArea outline="0" collapsedLevelsAreSubtotals="1" fieldPosition="0"/>
    </format>
    <format dxfId="117">
      <pivotArea dataOnly="0" labelOnly="1" grandRow="1" outline="0" fieldPosition="0"/>
    </format>
    <format dxfId="116">
      <pivotArea dataOnly="0" labelOnly="1" grandCol="1" outline="0" fieldPosition="0"/>
    </format>
    <format dxfId="115">
      <pivotArea collapsedLevelsAreSubtotals="1" fieldPosition="0">
        <references count="2">
          <reference field="0" count="1">
            <x v="2"/>
          </reference>
          <reference field="1" count="1" selected="0">
            <x v="0"/>
          </reference>
        </references>
      </pivotArea>
    </format>
    <format dxfId="114">
      <pivotArea collapsedLevelsAreSubtotals="1" fieldPosition="0">
        <references count="2">
          <reference field="0" count="1">
            <x v="0"/>
          </reference>
          <reference field="1" count="1" selected="0">
            <x v="2"/>
          </reference>
        </references>
      </pivotArea>
    </format>
    <format dxfId="113">
      <pivotArea collapsedLevelsAreSubtotals="1" fieldPosition="0">
        <references count="2">
          <reference field="0" count="1">
            <x v="2"/>
          </reference>
          <reference field="1" count="1" selected="0">
            <x v="2"/>
          </reference>
        </references>
      </pivotArea>
    </format>
    <format dxfId="112">
      <pivotArea collapsedLevelsAreSubtotals="1" fieldPosition="0">
        <references count="2">
          <reference field="0" count="1">
            <x v="1"/>
          </reference>
          <reference field="1" count="1" selected="0">
            <x v="2"/>
          </reference>
        </references>
      </pivotArea>
    </format>
    <format dxfId="111">
      <pivotArea collapsedLevelsAreSubtotals="1" fieldPosition="0">
        <references count="2">
          <reference field="0" count="1">
            <x v="0"/>
          </reference>
          <reference field="1" count="1" selected="0">
            <x v="1"/>
          </reference>
        </references>
      </pivotArea>
    </format>
    <format dxfId="110">
      <pivotArea field="0" grandCol="1" collapsedLevelsAreSubtotals="1" axis="axisRow" fieldPosition="0">
        <references count="1">
          <reference field="0" count="1">
            <x v="1"/>
          </reference>
        </references>
      </pivotArea>
    </format>
    <format dxfId="109">
      <pivotArea field="0" grandCol="1" collapsedLevelsAreSubtotals="1" axis="axisRow" fieldPosition="0">
        <references count="1">
          <reference field="0" count="1">
            <x v="0"/>
          </reference>
        </references>
      </pivotArea>
    </format>
    <format dxfId="108">
      <pivotArea field="0" grandCol="1" collapsedLevelsAreSubtotals="1" axis="axisRow" fieldPosition="0">
        <references count="1">
          <reference field="0" count="1">
            <x v="2"/>
          </reference>
        </references>
      </pivotArea>
    </format>
    <format dxfId="107">
      <pivotArea field="0" grandCol="1" collapsedLevelsAreSubtotals="1" axis="axisRow" fieldPosition="0">
        <references count="1">
          <reference field="0" count="1">
            <x v="3"/>
          </reference>
        </references>
      </pivotArea>
    </format>
    <format dxfId="106">
      <pivotArea outline="0" collapsedLevelsAreSubtotals="1"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1" type="button" dataOnly="0" labelOnly="1" outline="0" axis="axisCol" fieldPosition="0"/>
    </format>
    <format dxfId="100">
      <pivotArea type="topRight" dataOnly="0" labelOnly="1" outline="0"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fieldPosition="0">
        <references count="1">
          <reference field="1" count="0"/>
        </references>
      </pivotArea>
    </format>
  </formats>
  <conditionalFormats count="1">
    <conditionalFormat priority="1">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Level"/>
    <pivotHierarchy dragToData="1"/>
    <pivotHierarchy dragToData="1" caption="Average of Monthly_Salar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salary_dataset!$A$4:$T$5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DC2DC-772E-4F34-BE73-B0C66FB3D827}"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s">
  <location ref="A65:E71" firstHeaderRow="0" firstDataRow="1" firstDataCol="1"/>
  <pivotFields count="12">
    <pivotField dataField="1" showAll="0"/>
    <pivotField showAll="0"/>
    <pivotField axis="axisRow" showAll="0" sortType="descending">
      <items count="6">
        <item x="0"/>
        <item x="4"/>
        <item x="1"/>
        <item x="2"/>
        <item x="3"/>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2"/>
  </rowFields>
  <rowItems count="6">
    <i>
      <x v="3"/>
    </i>
    <i>
      <x v="4"/>
    </i>
    <i>
      <x v="1"/>
    </i>
    <i>
      <x v="2"/>
    </i>
    <i>
      <x/>
    </i>
    <i t="grand">
      <x/>
    </i>
  </rowItems>
  <colFields count="1">
    <field x="-2"/>
  </colFields>
  <colItems count="4">
    <i>
      <x/>
    </i>
    <i i="1">
      <x v="1"/>
    </i>
    <i i="2">
      <x v="2"/>
    </i>
    <i i="3">
      <x v="3"/>
    </i>
  </colItems>
  <dataFields count="4">
    <dataField name="Highest Salary" fld="8" subtotal="max" baseField="2" baseItem="0" numFmtId="166"/>
    <dataField name="Count of EmployeeID" fld="0" subtotal="count" baseField="2" baseItem="0"/>
    <dataField name="Average of Salary" fld="8" subtotal="average" baseField="2" baseItem="0" numFmtId="164"/>
    <dataField name="Sum of Salary" fld="8" baseField="0" baseItem="0" numFmtId="164"/>
  </dataFields>
  <formats count="27">
    <format dxfId="146">
      <pivotArea type="all" dataOnly="0" outline="0" fieldPosition="0"/>
    </format>
    <format dxfId="145">
      <pivotArea outline="0" collapsedLevelsAreSubtotals="1" fieldPosition="0"/>
    </format>
    <format dxfId="144">
      <pivotArea field="2" type="button" dataOnly="0" labelOnly="1" outline="0" axis="axisRow" fieldPosition="0"/>
    </format>
    <format dxfId="143">
      <pivotArea dataOnly="0" labelOnly="1" fieldPosition="0">
        <references count="1">
          <reference field="2" count="0"/>
        </references>
      </pivotArea>
    </format>
    <format dxfId="142">
      <pivotArea dataOnly="0" labelOnly="1" grandRow="1" outline="0" fieldPosition="0"/>
    </format>
    <format dxfId="141">
      <pivotArea dataOnly="0" labelOnly="1" outline="0" fieldPosition="0">
        <references count="1">
          <reference field="4294967294" count="4">
            <x v="0"/>
            <x v="1"/>
            <x v="2"/>
            <x v="3"/>
          </reference>
        </references>
      </pivotArea>
    </format>
    <format dxfId="140">
      <pivotArea type="all" dataOnly="0" outline="0" fieldPosition="0"/>
    </format>
    <format dxfId="139">
      <pivotArea dataOnly="0" labelOnly="1" outline="0" fieldPosition="0">
        <references count="1">
          <reference field="4294967294" count="4">
            <x v="0"/>
            <x v="1"/>
            <x v="2"/>
            <x v="3"/>
          </reference>
        </references>
      </pivotArea>
    </format>
    <format dxfId="138">
      <pivotArea dataOnly="0" labelOnly="1" outline="0" fieldPosition="0">
        <references count="1">
          <reference field="4294967294" count="1">
            <x v="0"/>
          </reference>
        </references>
      </pivotArea>
    </format>
    <format dxfId="137">
      <pivotArea outline="0" collapsedLevelsAreSubtotals="1" fieldPosition="0">
        <references count="1">
          <reference field="4294967294" count="1" selected="0">
            <x v="2"/>
          </reference>
        </references>
      </pivotArea>
    </format>
    <format dxfId="136">
      <pivotArea dataOnly="0" labelOnly="1" outline="0" fieldPosition="0">
        <references count="1">
          <reference field="4294967294" count="1">
            <x v="2"/>
          </reference>
        </references>
      </pivotArea>
    </format>
    <format dxfId="135">
      <pivotArea outline="0" collapsedLevelsAreSubtotals="1" fieldPosition="0">
        <references count="1">
          <reference field="4294967294" count="1" selected="0">
            <x v="3"/>
          </reference>
        </references>
      </pivotArea>
    </format>
    <format dxfId="134">
      <pivotArea dataOnly="0" labelOnly="1" outline="0" fieldPosition="0">
        <references count="1">
          <reference field="4294967294" count="1">
            <x v="3"/>
          </reference>
        </references>
      </pivotArea>
    </format>
    <format dxfId="133">
      <pivotArea type="all" dataOnly="0" outline="0" fieldPosition="0"/>
    </format>
    <format dxfId="132">
      <pivotArea outline="0" collapsedLevelsAreSubtotals="1" fieldPosition="0"/>
    </format>
    <format dxfId="131">
      <pivotArea field="2" type="button" dataOnly="0" labelOnly="1" outline="0" axis="axisRow" fieldPosition="0"/>
    </format>
    <format dxfId="130">
      <pivotArea dataOnly="0" labelOnly="1" fieldPosition="0">
        <references count="1">
          <reference field="2" count="0"/>
        </references>
      </pivotArea>
    </format>
    <format dxfId="129">
      <pivotArea dataOnly="0" labelOnly="1" grandRow="1" outline="0" fieldPosition="0"/>
    </format>
    <format dxfId="128">
      <pivotArea dataOnly="0" labelOnly="1" outline="0" fieldPosition="0">
        <references count="1">
          <reference field="4294967294" count="4">
            <x v="0"/>
            <x v="1"/>
            <x v="2"/>
            <x v="3"/>
          </reference>
        </references>
      </pivotArea>
    </format>
    <format dxfId="127">
      <pivotArea outline="0" collapsedLevelsAreSubtotals="1" fieldPosition="0">
        <references count="1">
          <reference field="4294967294" count="1" selected="0">
            <x v="1"/>
          </reference>
        </references>
      </pivotArea>
    </format>
    <format dxfId="126">
      <pivotArea dataOnly="0" labelOnly="1" outline="0" fieldPosition="0">
        <references count="1">
          <reference field="4294967294" count="1">
            <x v="1"/>
          </reference>
        </references>
      </pivotArea>
    </format>
    <format dxfId="125">
      <pivotArea outline="0" collapsedLevelsAreSubtotals="1" fieldPosition="0">
        <references count="1">
          <reference field="4294967294" count="1" selected="0">
            <x v="0"/>
          </reference>
        </references>
      </pivotArea>
    </format>
    <format dxfId="124">
      <pivotArea collapsedLevelsAreSubtotals="1" fieldPosition="0">
        <references count="2">
          <reference field="4294967294" count="1" selected="0">
            <x v="2"/>
          </reference>
          <reference field="2" count="1">
            <x v="3"/>
          </reference>
        </references>
      </pivotArea>
    </format>
    <format dxfId="123">
      <pivotArea field="2" grandRow="1" outline="0" collapsedLevelsAreSubtotals="1" axis="axisRow" fieldPosition="0">
        <references count="1">
          <reference field="4294967294" count="1" selected="0">
            <x v="3"/>
          </reference>
        </references>
      </pivotArea>
    </format>
    <format dxfId="122">
      <pivotArea collapsedLevelsAreSubtotals="1" fieldPosition="0">
        <references count="2">
          <reference field="4294967294" count="2" selected="0">
            <x v="2"/>
            <x v="3"/>
          </reference>
          <reference field="2" count="4">
            <x v="0"/>
            <x v="1"/>
            <x v="2"/>
            <x v="4"/>
          </reference>
        </references>
      </pivotArea>
    </format>
    <format dxfId="121">
      <pivotArea collapsedLevelsAreSubtotals="1" fieldPosition="0">
        <references count="2">
          <reference field="4294967294" count="1" selected="0">
            <x v="3"/>
          </reference>
          <reference field="2" count="1">
            <x v="3"/>
          </reference>
        </references>
      </pivotArea>
    </format>
    <format dxfId="120">
      <pivotArea field="2" grandRow="1" outline="0" collapsedLevelsAreSubtotals="1" axis="axisRow" fieldPosition="0">
        <references count="1">
          <reference field="4294967294" count="1" selected="0">
            <x v="2"/>
          </reference>
        </references>
      </pivotArea>
    </format>
  </formats>
  <chartFormats count="48">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2" count="1" selected="0">
            <x v="0"/>
          </reference>
        </references>
      </pivotArea>
    </chartFormat>
    <chartFormat chart="1" format="11">
      <pivotArea type="data" outline="0" fieldPosition="0">
        <references count="2">
          <reference field="4294967294" count="1" selected="0">
            <x v="0"/>
          </reference>
          <reference field="2" count="1" selected="0">
            <x v="1"/>
          </reference>
        </references>
      </pivotArea>
    </chartFormat>
    <chartFormat chart="1" format="12">
      <pivotArea type="data" outline="0" fieldPosition="0">
        <references count="2">
          <reference field="4294967294" count="1" selected="0">
            <x v="0"/>
          </reference>
          <reference field="2" count="1" selected="0">
            <x v="2"/>
          </reference>
        </references>
      </pivotArea>
    </chartFormat>
    <chartFormat chart="1" format="13">
      <pivotArea type="data" outline="0" fieldPosition="0">
        <references count="2">
          <reference field="4294967294" count="1" selected="0">
            <x v="0"/>
          </reference>
          <reference field="2" count="1" selected="0">
            <x v="3"/>
          </reference>
        </references>
      </pivotArea>
    </chartFormat>
    <chartFormat chart="1" format="14">
      <pivotArea type="data" outline="0" fieldPosition="0">
        <references count="2">
          <reference field="4294967294" count="1" selected="0">
            <x v="0"/>
          </reference>
          <reference field="2" count="1" selected="0">
            <x v="4"/>
          </reference>
        </references>
      </pivotArea>
    </chartFormat>
    <chartFormat chart="1" format="15" series="1">
      <pivotArea type="data" outline="0" fieldPosition="0">
        <references count="1">
          <reference field="4294967294" count="1" selected="0">
            <x v="1"/>
          </reference>
        </references>
      </pivotArea>
    </chartFormat>
    <chartFormat chart="1" format="16">
      <pivotArea type="data" outline="0" fieldPosition="0">
        <references count="2">
          <reference field="4294967294" count="1" selected="0">
            <x v="1"/>
          </reference>
          <reference field="2" count="1" selected="0">
            <x v="0"/>
          </reference>
        </references>
      </pivotArea>
    </chartFormat>
    <chartFormat chart="1" format="17">
      <pivotArea type="data" outline="0" fieldPosition="0">
        <references count="2">
          <reference field="4294967294" count="1" selected="0">
            <x v="1"/>
          </reference>
          <reference field="2" count="1" selected="0">
            <x v="1"/>
          </reference>
        </references>
      </pivotArea>
    </chartFormat>
    <chartFormat chart="1" format="18">
      <pivotArea type="data" outline="0" fieldPosition="0">
        <references count="2">
          <reference field="4294967294" count="1" selected="0">
            <x v="1"/>
          </reference>
          <reference field="2" count="1" selected="0">
            <x v="2"/>
          </reference>
        </references>
      </pivotArea>
    </chartFormat>
    <chartFormat chart="1" format="19">
      <pivotArea type="data" outline="0" fieldPosition="0">
        <references count="2">
          <reference field="4294967294" count="1" selected="0">
            <x v="1"/>
          </reference>
          <reference field="2" count="1" selected="0">
            <x v="3"/>
          </reference>
        </references>
      </pivotArea>
    </chartFormat>
    <chartFormat chart="1" format="20">
      <pivotArea type="data" outline="0" fieldPosition="0">
        <references count="2">
          <reference field="4294967294" count="1" selected="0">
            <x v="1"/>
          </reference>
          <reference field="2" count="1" selected="0">
            <x v="4"/>
          </reference>
        </references>
      </pivotArea>
    </chartFormat>
    <chartFormat chart="1" format="21" series="1">
      <pivotArea type="data" outline="0" fieldPosition="0">
        <references count="1">
          <reference field="4294967294" count="1" selected="0">
            <x v="2"/>
          </reference>
        </references>
      </pivotArea>
    </chartFormat>
    <chartFormat chart="1" format="22">
      <pivotArea type="data" outline="0" fieldPosition="0">
        <references count="2">
          <reference field="4294967294" count="1" selected="0">
            <x v="2"/>
          </reference>
          <reference field="2" count="1" selected="0">
            <x v="0"/>
          </reference>
        </references>
      </pivotArea>
    </chartFormat>
    <chartFormat chart="1" format="23">
      <pivotArea type="data" outline="0" fieldPosition="0">
        <references count="2">
          <reference field="4294967294" count="1" selected="0">
            <x v="2"/>
          </reference>
          <reference field="2" count="1" selected="0">
            <x v="1"/>
          </reference>
        </references>
      </pivotArea>
    </chartFormat>
    <chartFormat chart="1" format="24">
      <pivotArea type="data" outline="0" fieldPosition="0">
        <references count="2">
          <reference field="4294967294" count="1" selected="0">
            <x v="2"/>
          </reference>
          <reference field="2" count="1" selected="0">
            <x v="2"/>
          </reference>
        </references>
      </pivotArea>
    </chartFormat>
    <chartFormat chart="1" format="25">
      <pivotArea type="data" outline="0" fieldPosition="0">
        <references count="2">
          <reference field="4294967294" count="1" selected="0">
            <x v="2"/>
          </reference>
          <reference field="2" count="1" selected="0">
            <x v="3"/>
          </reference>
        </references>
      </pivotArea>
    </chartFormat>
    <chartFormat chart="1" format="26">
      <pivotArea type="data" outline="0" fieldPosition="0">
        <references count="2">
          <reference field="4294967294" count="1" selected="0">
            <x v="2"/>
          </reference>
          <reference field="2" count="1" selected="0">
            <x v="4"/>
          </reference>
        </references>
      </pivotArea>
    </chartFormat>
    <chartFormat chart="1" format="27" series="1">
      <pivotArea type="data" outline="0" fieldPosition="0">
        <references count="1">
          <reference field="4294967294" count="1" selected="0">
            <x v="3"/>
          </reference>
        </references>
      </pivotArea>
    </chartFormat>
    <chartFormat chart="1" format="28">
      <pivotArea type="data" outline="0" fieldPosition="0">
        <references count="2">
          <reference field="4294967294" count="1" selected="0">
            <x v="3"/>
          </reference>
          <reference field="2" count="1" selected="0">
            <x v="0"/>
          </reference>
        </references>
      </pivotArea>
    </chartFormat>
    <chartFormat chart="1" format="29">
      <pivotArea type="data" outline="0" fieldPosition="0">
        <references count="2">
          <reference field="4294967294" count="1" selected="0">
            <x v="3"/>
          </reference>
          <reference field="2" count="1" selected="0">
            <x v="1"/>
          </reference>
        </references>
      </pivotArea>
    </chartFormat>
    <chartFormat chart="1" format="30">
      <pivotArea type="data" outline="0" fieldPosition="0">
        <references count="2">
          <reference field="4294967294" count="1" selected="0">
            <x v="3"/>
          </reference>
          <reference field="2" count="1" selected="0">
            <x v="2"/>
          </reference>
        </references>
      </pivotArea>
    </chartFormat>
    <chartFormat chart="1" format="31">
      <pivotArea type="data" outline="0" fieldPosition="0">
        <references count="2">
          <reference field="4294967294" count="1" selected="0">
            <x v="3"/>
          </reference>
          <reference field="2" count="1" selected="0">
            <x v="3"/>
          </reference>
        </references>
      </pivotArea>
    </chartFormat>
    <chartFormat chart="1" format="32">
      <pivotArea type="data" outline="0" fieldPosition="0">
        <references count="2">
          <reference field="4294967294" count="1" selected="0">
            <x v="3"/>
          </reference>
          <reference field="2" count="1" selected="0">
            <x v="4"/>
          </reference>
        </references>
      </pivotArea>
    </chartFormat>
    <chartFormat chart="2" format="33" series="1">
      <pivotArea type="data" outline="0" fieldPosition="0">
        <references count="1">
          <reference field="4294967294" count="1" selected="0">
            <x v="0"/>
          </reference>
        </references>
      </pivotArea>
    </chartFormat>
    <chartFormat chart="2" format="34">
      <pivotArea type="data" outline="0" fieldPosition="0">
        <references count="2">
          <reference field="4294967294" count="1" selected="0">
            <x v="0"/>
          </reference>
          <reference field="2" count="1" selected="0">
            <x v="0"/>
          </reference>
        </references>
      </pivotArea>
    </chartFormat>
    <chartFormat chart="2" format="35">
      <pivotArea type="data" outline="0" fieldPosition="0">
        <references count="2">
          <reference field="4294967294" count="1" selected="0">
            <x v="0"/>
          </reference>
          <reference field="2" count="1" selected="0">
            <x v="1"/>
          </reference>
        </references>
      </pivotArea>
    </chartFormat>
    <chartFormat chart="2" format="36">
      <pivotArea type="data" outline="0" fieldPosition="0">
        <references count="2">
          <reference field="4294967294" count="1" selected="0">
            <x v="0"/>
          </reference>
          <reference field="2" count="1" selected="0">
            <x v="2"/>
          </reference>
        </references>
      </pivotArea>
    </chartFormat>
    <chartFormat chart="2" format="37">
      <pivotArea type="data" outline="0" fieldPosition="0">
        <references count="2">
          <reference field="4294967294" count="1" selected="0">
            <x v="0"/>
          </reference>
          <reference field="2" count="1" selected="0">
            <x v="3"/>
          </reference>
        </references>
      </pivotArea>
    </chartFormat>
    <chartFormat chart="2" format="38">
      <pivotArea type="data" outline="0" fieldPosition="0">
        <references count="2">
          <reference field="4294967294" count="1" selected="0">
            <x v="0"/>
          </reference>
          <reference field="2" count="1" selected="0">
            <x v="4"/>
          </reference>
        </references>
      </pivotArea>
    </chartFormat>
    <chartFormat chart="2" format="39" series="1">
      <pivotArea type="data" outline="0" fieldPosition="0">
        <references count="1">
          <reference field="4294967294" count="1" selected="0">
            <x v="1"/>
          </reference>
        </references>
      </pivotArea>
    </chartFormat>
    <chartFormat chart="2" format="40">
      <pivotArea type="data" outline="0" fieldPosition="0">
        <references count="2">
          <reference field="4294967294" count="1" selected="0">
            <x v="1"/>
          </reference>
          <reference field="2" count="1" selected="0">
            <x v="0"/>
          </reference>
        </references>
      </pivotArea>
    </chartFormat>
    <chartFormat chart="2" format="41">
      <pivotArea type="data" outline="0" fieldPosition="0">
        <references count="2">
          <reference field="4294967294" count="1" selected="0">
            <x v="1"/>
          </reference>
          <reference field="2" count="1" selected="0">
            <x v="1"/>
          </reference>
        </references>
      </pivotArea>
    </chartFormat>
    <chartFormat chart="2" format="42">
      <pivotArea type="data" outline="0" fieldPosition="0">
        <references count="2">
          <reference field="4294967294" count="1" selected="0">
            <x v="1"/>
          </reference>
          <reference field="2" count="1" selected="0">
            <x v="2"/>
          </reference>
        </references>
      </pivotArea>
    </chartFormat>
    <chartFormat chart="2" format="43">
      <pivotArea type="data" outline="0" fieldPosition="0">
        <references count="2">
          <reference field="4294967294" count="1" selected="0">
            <x v="1"/>
          </reference>
          <reference field="2" count="1" selected="0">
            <x v="3"/>
          </reference>
        </references>
      </pivotArea>
    </chartFormat>
    <chartFormat chart="2" format="44">
      <pivotArea type="data" outline="0" fieldPosition="0">
        <references count="2">
          <reference field="4294967294" count="1" selected="0">
            <x v="1"/>
          </reference>
          <reference field="2" count="1" selected="0">
            <x v="4"/>
          </reference>
        </references>
      </pivotArea>
    </chartFormat>
    <chartFormat chart="2" format="45" series="1">
      <pivotArea type="data" outline="0" fieldPosition="0">
        <references count="1">
          <reference field="4294967294" count="1" selected="0">
            <x v="2"/>
          </reference>
        </references>
      </pivotArea>
    </chartFormat>
    <chartFormat chart="2" format="46">
      <pivotArea type="data" outline="0" fieldPosition="0">
        <references count="2">
          <reference field="4294967294" count="1" selected="0">
            <x v="2"/>
          </reference>
          <reference field="2" count="1" selected="0">
            <x v="0"/>
          </reference>
        </references>
      </pivotArea>
    </chartFormat>
    <chartFormat chart="2" format="47">
      <pivotArea type="data" outline="0" fieldPosition="0">
        <references count="2">
          <reference field="4294967294" count="1" selected="0">
            <x v="2"/>
          </reference>
          <reference field="2" count="1" selected="0">
            <x v="1"/>
          </reference>
        </references>
      </pivotArea>
    </chartFormat>
    <chartFormat chart="2" format="48">
      <pivotArea type="data" outline="0" fieldPosition="0">
        <references count="2">
          <reference field="4294967294" count="1" selected="0">
            <x v="2"/>
          </reference>
          <reference field="2" count="1" selected="0">
            <x v="2"/>
          </reference>
        </references>
      </pivotArea>
    </chartFormat>
    <chartFormat chart="2" format="49">
      <pivotArea type="data" outline="0" fieldPosition="0">
        <references count="2">
          <reference field="4294967294" count="1" selected="0">
            <x v="2"/>
          </reference>
          <reference field="2" count="1" selected="0">
            <x v="3"/>
          </reference>
        </references>
      </pivotArea>
    </chartFormat>
    <chartFormat chart="2" format="50">
      <pivotArea type="data" outline="0" fieldPosition="0">
        <references count="2">
          <reference field="4294967294" count="1" selected="0">
            <x v="2"/>
          </reference>
          <reference field="2" count="1" selected="0">
            <x v="4"/>
          </reference>
        </references>
      </pivotArea>
    </chartFormat>
    <chartFormat chart="2" format="51" series="1">
      <pivotArea type="data" outline="0" fieldPosition="0">
        <references count="1">
          <reference field="4294967294" count="1" selected="0">
            <x v="3"/>
          </reference>
        </references>
      </pivotArea>
    </chartFormat>
    <chartFormat chart="2" format="52">
      <pivotArea type="data" outline="0" fieldPosition="0">
        <references count="2">
          <reference field="4294967294" count="1" selected="0">
            <x v="3"/>
          </reference>
          <reference field="2" count="1" selected="0">
            <x v="0"/>
          </reference>
        </references>
      </pivotArea>
    </chartFormat>
    <chartFormat chart="2" format="53">
      <pivotArea type="data" outline="0" fieldPosition="0">
        <references count="2">
          <reference field="4294967294" count="1" selected="0">
            <x v="3"/>
          </reference>
          <reference field="2" count="1" selected="0">
            <x v="1"/>
          </reference>
        </references>
      </pivotArea>
    </chartFormat>
    <chartFormat chart="2" format="54">
      <pivotArea type="data" outline="0" fieldPosition="0">
        <references count="2">
          <reference field="4294967294" count="1" selected="0">
            <x v="3"/>
          </reference>
          <reference field="2" count="1" selected="0">
            <x v="2"/>
          </reference>
        </references>
      </pivotArea>
    </chartFormat>
    <chartFormat chart="2" format="55">
      <pivotArea type="data" outline="0" fieldPosition="0">
        <references count="2">
          <reference field="4294967294" count="1" selected="0">
            <x v="3"/>
          </reference>
          <reference field="2" count="1" selected="0">
            <x v="3"/>
          </reference>
        </references>
      </pivotArea>
    </chartFormat>
    <chartFormat chart="2" format="56">
      <pivotArea type="data" outline="0" fieldPosition="0">
        <references count="2">
          <reference field="4294967294" count="1" selected="0">
            <x v="3"/>
          </reference>
          <reference field="2"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8AFB96-00F9-4D31-8EB2-73634E362C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A1:C7" firstHeaderRow="0" firstDataRow="1" firstDataCol="1"/>
  <pivotFields count="14">
    <pivotField showAll="0"/>
    <pivotField showAll="0"/>
    <pivotField axis="axisRow" showAll="0">
      <items count="6">
        <item x="0"/>
        <item x="4"/>
        <item x="1"/>
        <item x="2"/>
        <item x="3"/>
        <item t="default"/>
      </items>
    </pivotField>
    <pivotField showAll="0"/>
    <pivotField showAll="0"/>
    <pivotField showAll="0"/>
    <pivotField showAll="0">
      <items count="3">
        <item x="0"/>
        <item x="1"/>
        <item t="default"/>
      </items>
    </pivotField>
    <pivotField showAll="0"/>
    <pivotField dataField="1" showAll="0"/>
    <pivotField showAll="0"/>
    <pivotField showAll="0"/>
    <pivotField showAll="0"/>
    <pivotField showAll="0"/>
    <pivotField dataField="1" showAll="0"/>
  </pivotFields>
  <rowFields count="1">
    <field x="2"/>
  </rowFields>
  <rowItems count="6">
    <i>
      <x/>
    </i>
    <i>
      <x v="1"/>
    </i>
    <i>
      <x v="2"/>
    </i>
    <i>
      <x v="3"/>
    </i>
    <i>
      <x v="4"/>
    </i>
    <i t="grand">
      <x/>
    </i>
  </rowItems>
  <colFields count="1">
    <field x="-2"/>
  </colFields>
  <colItems count="2">
    <i>
      <x/>
    </i>
    <i i="1">
      <x v="1"/>
    </i>
  </colItems>
  <dataFields count="2">
    <dataField name="Sum of Monthly_Salary" fld="8" baseField="0" baseItem="0"/>
    <dataField name="Sum of Salary After Increment" fld="13" baseField="0" baseItem="0"/>
  </dataFields>
  <formats count="8">
    <format dxfId="89">
      <pivotArea type="all" dataOnly="0" outline="0" fieldPosition="0"/>
    </format>
    <format dxfId="88">
      <pivotArea outline="0" collapsedLevelsAreSubtotals="1" fieldPosition="0"/>
    </format>
    <format dxfId="87">
      <pivotArea field="2" type="button" dataOnly="0" labelOnly="1" outline="0" axis="axisRow" fieldPosition="0"/>
    </format>
    <format dxfId="86">
      <pivotArea dataOnly="0" labelOnly="1" fieldPosition="0">
        <references count="1">
          <reference field="2" count="0"/>
        </references>
      </pivotArea>
    </format>
    <format dxfId="85">
      <pivotArea dataOnly="0" labelOnly="1" grandRow="1" outline="0" fieldPosition="0"/>
    </format>
    <format dxfId="84">
      <pivotArea dataOnly="0" labelOnly="1" outline="0" fieldPosition="0">
        <references count="1">
          <reference field="4294967294" count="2">
            <x v="0"/>
            <x v="1"/>
          </reference>
        </references>
      </pivotArea>
    </format>
    <format dxfId="83">
      <pivotArea dataOnly="0" labelOnly="1" outline="0" fieldPosition="0">
        <references count="1">
          <reference field="4294967294" count="2">
            <x v="0"/>
            <x v="1"/>
          </reference>
        </references>
      </pivotArea>
    </format>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A5759-1F00-4CA9-AA6C-BF4DBFBD3F86}"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xperience level">
  <location ref="A55:B59" firstHeaderRow="1" firstDataRow="1" firstDataCol="1"/>
  <pivotFields count="20">
    <pivotField showAll="0"/>
    <pivotField showAll="0"/>
    <pivotField showAll="0"/>
    <pivotField showAll="0"/>
    <pivotField showAll="0"/>
    <pivotField showAll="0"/>
    <pivotField showAll="0"/>
    <pivotField showAll="0"/>
    <pivotField dataField="1" numFmtId="165" showAll="0"/>
    <pivotField showAll="0"/>
    <pivotField showAll="0"/>
    <pivotField showAll="0"/>
    <pivotField numFmtId="165" showAll="0"/>
    <pivotField numFmtId="165" showAll="0"/>
    <pivotField numFmtId="1" showAll="0"/>
    <pivotField numFmtId="1" showAll="0"/>
    <pivotField numFmtId="1" showAll="0"/>
    <pivotField showAll="0"/>
    <pivotField axis="axisRow" showAll="0">
      <items count="4">
        <item x="2"/>
        <item x="0"/>
        <item x="1"/>
        <item t="default"/>
      </items>
    </pivotField>
    <pivotField showAll="0"/>
  </pivotFields>
  <rowFields count="1">
    <field x="18"/>
  </rowFields>
  <rowItems count="4">
    <i>
      <x/>
    </i>
    <i>
      <x v="1"/>
    </i>
    <i>
      <x v="2"/>
    </i>
    <i t="grand">
      <x/>
    </i>
  </rowItems>
  <colItems count="1">
    <i/>
  </colItems>
  <dataFields count="1">
    <dataField name="Average of Monthly_Salary" fld="8" subtotal="average" baseField="18" baseItem="0" numFmtId="165"/>
  </dataFields>
  <formats count="7">
    <format dxfId="10">
      <pivotArea collapsedLevelsAreSubtotals="1" fieldPosition="0">
        <references count="1">
          <reference field="18" count="0"/>
        </references>
      </pivotArea>
    </format>
    <format dxfId="9">
      <pivotArea type="all" dataOnly="0" outline="0" fieldPosition="0"/>
    </format>
    <format dxfId="8">
      <pivotArea outline="0" collapsedLevelsAreSubtotals="1" fieldPosition="0"/>
    </format>
    <format dxfId="7">
      <pivotArea field="18" type="button" dataOnly="0" labelOnly="1" outline="0" axis="axisRow" fieldPosition="0"/>
    </format>
    <format dxfId="6">
      <pivotArea dataOnly="0" labelOnly="1" fieldPosition="0">
        <references count="1">
          <reference field="18" count="0"/>
        </references>
      </pivotArea>
    </format>
    <format dxfId="5">
      <pivotArea dataOnly="0" labelOnly="1" grandRow="1" outline="0" fieldPosition="0"/>
    </format>
    <format dxfId="4">
      <pivotArea dataOnly="0" labelOnly="1"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8C778D-E8B8-46B3-809D-A0EE8E69ADA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Department">
  <location ref="A40:C46" firstHeaderRow="0" firstDataRow="1" firstDataCol="1"/>
  <pivotFields count="20">
    <pivotField showAll="0"/>
    <pivotField showAll="0"/>
    <pivotField axis="axisRow" showAll="0">
      <items count="6">
        <item x="3"/>
        <item x="2"/>
        <item x="1"/>
        <item x="4"/>
        <item x="0"/>
        <item t="default"/>
      </items>
    </pivotField>
    <pivotField showAll="0"/>
    <pivotField showAll="0"/>
    <pivotField showAll="0"/>
    <pivotField showAll="0"/>
    <pivotField showAll="0"/>
    <pivotField dataField="1" numFmtId="165" showAll="0"/>
    <pivotField showAll="0"/>
    <pivotField showAll="0"/>
    <pivotField showAll="0"/>
    <pivotField numFmtId="165" showAll="0"/>
    <pivotField numFmtId="165" showAll="0"/>
    <pivotField numFmtId="1" showAll="0"/>
    <pivotField numFmtId="1" showAll="0"/>
    <pivotField numFmtId="1"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Max Salary" fld="8" subtotal="max" baseField="2" baseItem="0" numFmtId="165"/>
    <dataField name="Min Salary" fld="8" subtotal="min" baseField="2" baseItem="0" numFmtId="165"/>
  </dataFields>
  <formats count="9">
    <format dxfId="19">
      <pivotArea dataOnly="0" labelOnly="1" outline="0" fieldPosition="0">
        <references count="1">
          <reference field="4294967294" count="1">
            <x v="0"/>
          </reference>
        </references>
      </pivotArea>
    </format>
    <format dxfId="18">
      <pivotArea outline="0" collapsedLevelsAreSubtotals="1" fieldPosition="0">
        <references count="1">
          <reference field="4294967294" count="1" selected="0">
            <x v="0"/>
          </reference>
        </references>
      </pivotArea>
    </format>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E0CAD9-20F4-406C-8FB2-7973946423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s">
  <location ref="A32:B38" firstHeaderRow="1" firstDataRow="1" firstDataCol="1"/>
  <pivotFields count="14">
    <pivotField showAll="0"/>
    <pivotField showAll="0"/>
    <pivotField axis="axisRow" showAll="0" sortType="de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dataField="1" showAll="0"/>
    <pivotField showAll="0"/>
    <pivotField showAll="0"/>
    <pivotField showAll="0"/>
    <pivotField showAll="0"/>
    <pivotField showAll="0"/>
  </pivotFields>
  <rowFields count="1">
    <field x="2"/>
  </rowFields>
  <rowItems count="6">
    <i>
      <x v="3"/>
    </i>
    <i>
      <x v="4"/>
    </i>
    <i>
      <x v="1"/>
    </i>
    <i>
      <x v="2"/>
    </i>
    <i>
      <x/>
    </i>
    <i t="grand">
      <x/>
    </i>
  </rowItems>
  <colItems count="1">
    <i/>
  </colItems>
  <dataFields count="1">
    <dataField name="Average of Monthly_Salary" fld="8" subtotal="average" baseField="2" baseItem="0" numFmtId="168"/>
  </dataFields>
  <formats count="14">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EF35E9-BCD2-45BB-91F9-5DB1852C73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xperience Years">
  <location ref="A10:B30" firstHeaderRow="1" firstDataRow="1" firstDataCol="1"/>
  <pivotFields count="14">
    <pivotField showAll="0"/>
    <pivotField showAll="0"/>
    <pivotField showAll="0">
      <items count="6">
        <item x="0"/>
        <item x="1"/>
        <item x="2"/>
        <item x="3"/>
        <item x="4"/>
        <item t="default"/>
      </items>
    </pivotField>
    <pivotField axis="axisRow" showAll="0">
      <items count="20">
        <item x="16"/>
        <item x="17"/>
        <item x="3"/>
        <item x="6"/>
        <item x="0"/>
        <item x="1"/>
        <item x="10"/>
        <item x="2"/>
        <item x="15"/>
        <item x="14"/>
        <item x="18"/>
        <item x="4"/>
        <item x="11"/>
        <item x="8"/>
        <item x="9"/>
        <item x="7"/>
        <item x="5"/>
        <item x="12"/>
        <item x="13"/>
        <item t="default"/>
      </items>
    </pivotField>
    <pivotField showAll="0"/>
    <pivotField showAll="0"/>
    <pivotField showAll="0">
      <items count="3">
        <item x="0"/>
        <item x="1"/>
        <item t="default"/>
      </items>
    </pivotField>
    <pivotField showAll="0"/>
    <pivotField dataField="1" showAll="0"/>
    <pivotField showAll="0"/>
    <pivotField showAll="0"/>
    <pivotField showAll="0"/>
    <pivotField showAll="0"/>
    <pivotField showAll="0"/>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Monthly_Salary" fld="8" baseField="0" baseItem="0" numFmtId="168"/>
  </dataFields>
  <formats count="13">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axis="axisValues"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033FD-9FB3-44BC-91E5-3062AD097E34}" name="PivotTable7"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Education" colHeaderCaption="Experience level">
  <location ref="D2:G7" firstHeaderRow="1" firstDataRow="2" firstDataCol="1"/>
  <pivotFields count="3">
    <pivotField axis="axisRow" allDrilled="1" subtotalTop="0" showAll="0" defaultSubtotal="0" defaultAttributeDrillState="1">
      <items count="4">
        <item x="1"/>
        <item x="0"/>
        <item x="2"/>
        <item x="3"/>
      </items>
    </pivotField>
    <pivotField axis="axisCol" allDrilled="1" subtotalTop="0" showAll="0" defaultSubtotal="0" defaultAttributeDrillState="1">
      <items count="3">
        <item x="1"/>
        <item x="2"/>
        <item x="0"/>
      </items>
    </pivotField>
    <pivotField dataField="1" subtotalTop="0" showAll="0" defaultSubtotal="0"/>
  </pivotFields>
  <rowFields count="1">
    <field x="0"/>
  </rowFields>
  <rowItems count="4">
    <i>
      <x/>
    </i>
    <i>
      <x v="1"/>
    </i>
    <i>
      <x v="2"/>
    </i>
    <i>
      <x v="3"/>
    </i>
  </rowItems>
  <colFields count="1">
    <field x="1"/>
  </colFields>
  <colItems count="3">
    <i>
      <x/>
    </i>
    <i>
      <x v="1"/>
    </i>
    <i>
      <x v="2"/>
    </i>
  </colItems>
  <dataFields count="1">
    <dataField name="Average of Monthly_Salary" fld="2" subtotal="average" baseField="0" baseItem="0" numFmtId="167"/>
  </dataFields>
  <formats count="23">
    <format dxfId="69">
      <pivotArea type="all" dataOnly="0" outline="0" fieldPosition="0"/>
    </format>
    <format dxfId="68">
      <pivotArea outline="0" collapsedLevelsAreSubtotals="1" fieldPosition="0"/>
    </format>
    <format dxfId="67">
      <pivotArea dataOnly="0" labelOnly="1" grandRow="1" outline="0" fieldPosition="0"/>
    </format>
    <format dxfId="66">
      <pivotArea dataOnly="0" labelOnly="1" grandCol="1" outline="0" fieldPosition="0"/>
    </format>
    <format dxfId="65">
      <pivotArea collapsedLevelsAreSubtotals="1" fieldPosition="0">
        <references count="2">
          <reference field="0" count="1">
            <x v="2"/>
          </reference>
          <reference field="1" count="1" selected="0">
            <x v="0"/>
          </reference>
        </references>
      </pivotArea>
    </format>
    <format dxfId="64">
      <pivotArea collapsedLevelsAreSubtotals="1" fieldPosition="0">
        <references count="2">
          <reference field="0" count="1">
            <x v="0"/>
          </reference>
          <reference field="1" count="1" selected="0">
            <x v="2"/>
          </reference>
        </references>
      </pivotArea>
    </format>
    <format dxfId="63">
      <pivotArea collapsedLevelsAreSubtotals="1" fieldPosition="0">
        <references count="2">
          <reference field="0" count="1">
            <x v="2"/>
          </reference>
          <reference field="1" count="1" selected="0">
            <x v="2"/>
          </reference>
        </references>
      </pivotArea>
    </format>
    <format dxfId="62">
      <pivotArea collapsedLevelsAreSubtotals="1" fieldPosition="0">
        <references count="2">
          <reference field="0" count="1">
            <x v="1"/>
          </reference>
          <reference field="1" count="1" selected="0">
            <x v="2"/>
          </reference>
        </references>
      </pivotArea>
    </format>
    <format dxfId="61">
      <pivotArea collapsedLevelsAreSubtotals="1" fieldPosition="0">
        <references count="2">
          <reference field="0" count="1">
            <x v="0"/>
          </reference>
          <reference field="1" count="1" selected="0">
            <x v="1"/>
          </reference>
        </references>
      </pivotArea>
    </format>
    <format dxfId="60">
      <pivotArea field="0" grandCol="1" collapsedLevelsAreSubtotals="1" axis="axisRow" fieldPosition="0">
        <references count="1">
          <reference field="0" count="1">
            <x v="1"/>
          </reference>
        </references>
      </pivotArea>
    </format>
    <format dxfId="59">
      <pivotArea field="0" grandCol="1" collapsedLevelsAreSubtotals="1" axis="axisRow" fieldPosition="0">
        <references count="1">
          <reference field="0" count="1">
            <x v="0"/>
          </reference>
        </references>
      </pivotArea>
    </format>
    <format dxfId="58">
      <pivotArea field="0" grandCol="1" collapsedLevelsAreSubtotals="1" axis="axisRow" fieldPosition="0">
        <references count="1">
          <reference field="0" count="1">
            <x v="2"/>
          </reference>
        </references>
      </pivotArea>
    </format>
    <format dxfId="57">
      <pivotArea field="0" grandCol="1" collapsedLevelsAreSubtotals="1" axis="axisRow" fieldPosition="0">
        <references count="1">
          <reference field="0" count="1">
            <x v="3"/>
          </reference>
        </references>
      </pivotArea>
    </format>
    <format dxfId="56">
      <pivotArea outline="0" collapsedLevelsAreSubtotals="1"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1" type="button" dataOnly="0" labelOnly="1" outline="0" axis="axisCol" fieldPosition="0"/>
    </format>
    <format dxfId="50">
      <pivotArea type="topRight" dataOnly="0" labelOnly="1" outline="0"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fieldPosition="0">
        <references count="1">
          <reference field="1" count="0"/>
        </references>
      </pivotArea>
    </format>
  </formats>
  <conditionalFormats count="1">
    <conditionalFormat priority="1">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Level"/>
    <pivotHierarchy dragToData="1"/>
    <pivotHierarchy dragToData="1" caption="Average of Monthly_Salar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salary_dataset!$A$4:$T$5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E35F48-9C2F-478C-ACFA-187B14753C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partments">
  <location ref="A2:B8" firstHeaderRow="1" firstDataRow="1" firstDataCol="1"/>
  <pivotFields count="14">
    <pivotField dataField="1" showAll="0"/>
    <pivotField showAll="0"/>
    <pivotField axis="axisRow" showAll="0">
      <items count="6">
        <item x="0"/>
        <item x="4"/>
        <item x="1"/>
        <item x="2"/>
        <item x="3"/>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EmployeeID" fld="0" subtotal="count" baseField="2" baseItem="0"/>
  </dataFields>
  <formats count="12">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s>
  <chartFormats count="6">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0" format="4">
      <pivotArea type="data" outline="0" fieldPosition="0">
        <references count="2">
          <reference field="4294967294" count="1" selected="0">
            <x v="0"/>
          </reference>
          <reference field="2" count="1" selected="0">
            <x v="2"/>
          </reference>
        </references>
      </pivotArea>
    </chartFormat>
    <chartFormat chart="10" format="5">
      <pivotArea type="data" outline="0" fieldPosition="0">
        <references count="2">
          <reference field="4294967294" count="1" selected="0">
            <x v="0"/>
          </reference>
          <reference field="2" count="1" selected="0">
            <x v="3"/>
          </reference>
        </references>
      </pivotArea>
    </chartFormat>
    <chartFormat chart="10"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1B0E891-3C9C-4FD9-8049-BA5DBBA70358}" sourceName="Department">
  <pivotTables>
    <pivotTable tabId="10" name="PivotTable1"/>
    <pivotTable tabId="8" name="PivotTable1"/>
    <pivotTable tabId="10" name="PivotTable2"/>
    <pivotTable tabId="10" name="PivotTable3"/>
  </pivotTables>
  <data>
    <tabular pivotCacheId="1867002533">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2A3AB7-48BE-44FF-A395-B5389F832A76}" sourceName="Gender">
  <pivotTables>
    <pivotTable tabId="10" name="PivotTable1"/>
    <pivotTable tabId="8" name="PivotTable1"/>
    <pivotTable tabId="10" name="PivotTable2"/>
    <pivotTable tabId="10" name="PivotTable3"/>
  </pivotTables>
  <data>
    <tabular pivotCacheId="186700253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ACD3E1D-1BA8-4629-A56C-366717EE4C3B}" cache="Slicer_Department1" caption="Department" rowHeight="241300"/>
  <slicer name="Gender" xr10:uid="{CF639BF6-16EE-487B-8224-C27B62719F15}"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DA43BB-8022-438A-92C8-99CDCB8CD8A9}" name="Table1" displayName="Table1" ref="A4:D5" totalsRowShown="0" headerRowDxfId="96" dataDxfId="95" tableBorderDxfId="94">
  <tableColumns count="4">
    <tableColumn id="1" xr3:uid="{DE2D6C4B-90A6-40AD-BF56-0343D9C29097}" name="Total Employees" dataDxfId="93">
      <calculatedColumnFormula>COUNTA(employee_salary_dataset!A5:A54)</calculatedColumnFormula>
    </tableColumn>
    <tableColumn id="2" xr3:uid="{2CB91C37-E184-4D05-BDD2-9CB128A36FB2}" name="Avg Monthly Salary" dataDxfId="92">
      <calculatedColumnFormula>AVERAGE(employee_salary_dataset!I5:I54)</calculatedColumnFormula>
    </tableColumn>
    <tableColumn id="3" xr3:uid="{E075C1ED-23A1-48AD-A3B5-BFFB69D71ECA}" name="Max Monthly Salary" dataDxfId="91" dataCellStyle="Currency">
      <calculatedColumnFormula>MAX(employee_salary_dataset!I5:I54)</calculatedColumnFormula>
    </tableColumn>
    <tableColumn id="4" xr3:uid="{1A5C6336-1395-4FFF-982A-5B7B7FF90098}" name="Avg Salary Increase(Low→Medium)" dataDxfId="90" dataCellStyle="Currency"/>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0306-5B67-41C0-A88E-4E164B1CF438}">
  <sheetPr>
    <pageSetUpPr autoPageBreaks="0"/>
  </sheetPr>
  <dimension ref="A1:X71"/>
  <sheetViews>
    <sheetView showGridLines="0" tabSelected="1" zoomScale="36" zoomScaleNormal="36" workbookViewId="0">
      <selection activeCell="J28" sqref="J28:M28"/>
      <pivotSelection pane="bottomRight" showHeader="1" extendable="1" axis="axisRow" max="4" activeRow="27" activeCol="9" previousRow="27" previousCol="9" click="1" r:id="rId1">
        <pivotArea dataOnly="0" fieldPosition="0">
          <references count="1">
            <reference field="0" count="1">
              <x v="0"/>
            </reference>
          </references>
        </pivotArea>
      </pivotSelection>
    </sheetView>
  </sheetViews>
  <sheetFormatPr defaultRowHeight="14.5" x14ac:dyDescent="0.35"/>
  <cols>
    <col min="1" max="1" width="24.08984375" bestFit="1" customWidth="1"/>
    <col min="2" max="2" width="27.36328125" bestFit="1" customWidth="1"/>
    <col min="3" max="3" width="29.54296875" bestFit="1" customWidth="1"/>
    <col min="4" max="4" width="48.08984375" bestFit="1" customWidth="1"/>
    <col min="5" max="5" width="13.453125" bestFit="1" customWidth="1"/>
    <col min="6" max="6" width="12.1796875" bestFit="1" customWidth="1"/>
    <col min="7" max="7" width="10.7265625" bestFit="1" customWidth="1"/>
    <col min="10" max="10" width="23.54296875" bestFit="1" customWidth="1"/>
    <col min="11" max="11" width="17.6328125" bestFit="1" customWidth="1"/>
    <col min="12" max="12" width="10.1796875" bestFit="1" customWidth="1"/>
    <col min="13" max="13" width="9.54296875" bestFit="1" customWidth="1"/>
  </cols>
  <sheetData>
    <row r="1" spans="1:24" ht="23.5" customHeight="1" x14ac:dyDescent="0.35">
      <c r="A1" s="65" t="s">
        <v>0</v>
      </c>
      <c r="B1" s="66"/>
      <c r="C1" s="66"/>
      <c r="D1" s="66"/>
      <c r="E1" s="66"/>
      <c r="F1" s="66"/>
      <c r="G1" s="66"/>
      <c r="H1" s="66"/>
      <c r="I1" s="66"/>
      <c r="J1" s="66"/>
      <c r="K1" s="66"/>
      <c r="L1" s="66"/>
      <c r="M1" s="66"/>
      <c r="N1" s="66"/>
      <c r="O1" s="66"/>
      <c r="P1" s="66"/>
      <c r="Q1" s="66"/>
      <c r="R1" s="66"/>
      <c r="S1" s="66"/>
      <c r="T1" s="66"/>
      <c r="U1" s="66"/>
      <c r="V1" s="66"/>
      <c r="W1" s="66"/>
      <c r="X1" s="67"/>
    </row>
    <row r="2" spans="1:24" ht="23.5" customHeight="1" thickBot="1" x14ac:dyDescent="0.4">
      <c r="A2" s="68"/>
      <c r="B2" s="69"/>
      <c r="C2" s="69"/>
      <c r="D2" s="69"/>
      <c r="E2" s="69"/>
      <c r="F2" s="69"/>
      <c r="G2" s="69"/>
      <c r="H2" s="69"/>
      <c r="I2" s="69"/>
      <c r="J2" s="69"/>
      <c r="K2" s="69"/>
      <c r="L2" s="69"/>
      <c r="M2" s="69"/>
      <c r="N2" s="69"/>
      <c r="O2" s="69"/>
      <c r="P2" s="69"/>
      <c r="Q2" s="69"/>
      <c r="R2" s="69"/>
      <c r="S2" s="69"/>
      <c r="T2" s="69"/>
      <c r="U2" s="69"/>
      <c r="V2" s="69"/>
      <c r="W2" s="69"/>
      <c r="X2" s="70"/>
    </row>
    <row r="4" spans="1:24" ht="15.5" x14ac:dyDescent="0.35">
      <c r="A4" s="11" t="s">
        <v>1</v>
      </c>
      <c r="B4" s="11" t="s">
        <v>2</v>
      </c>
      <c r="C4" s="11" t="s">
        <v>3</v>
      </c>
      <c r="D4" s="11" t="s">
        <v>125</v>
      </c>
    </row>
    <row r="5" spans="1:24" ht="33.5" x14ac:dyDescent="0.75">
      <c r="A5" s="12">
        <f>COUNTA(employee_salary_dataset!A5:A54)</f>
        <v>50</v>
      </c>
      <c r="B5" s="39">
        <f>AVERAGE(employee_salary_dataset!I5:I54)</f>
        <v>82288.800000000003</v>
      </c>
      <c r="C5" s="38">
        <f>MAX(employee_salary_dataset!I5:I54)</f>
        <v>149123</v>
      </c>
      <c r="D5" s="37">
        <v>20541</v>
      </c>
    </row>
    <row r="24" spans="10:13" ht="15" thickBot="1" x14ac:dyDescent="0.4"/>
    <row r="25" spans="10:13" ht="15" thickBot="1" x14ac:dyDescent="0.4">
      <c r="J25" s="62" t="s">
        <v>124</v>
      </c>
      <c r="K25" s="63"/>
      <c r="L25" s="63"/>
      <c r="M25" s="64"/>
    </row>
    <row r="26" spans="10:13" x14ac:dyDescent="0.35">
      <c r="J26" s="52" t="s">
        <v>18</v>
      </c>
      <c r="K26" s="53" t="s">
        <v>19</v>
      </c>
      <c r="L26" s="54"/>
      <c r="M26" s="55"/>
    </row>
    <row r="27" spans="10:13" x14ac:dyDescent="0.35">
      <c r="J27" s="45" t="s">
        <v>20</v>
      </c>
      <c r="K27" s="3" t="s">
        <v>22</v>
      </c>
      <c r="L27" s="3" t="s">
        <v>23</v>
      </c>
      <c r="M27" s="46" t="s">
        <v>21</v>
      </c>
    </row>
    <row r="28" spans="10:13" x14ac:dyDescent="0.35">
      <c r="J28" s="47" t="s">
        <v>25</v>
      </c>
      <c r="K28" s="41">
        <v>43711</v>
      </c>
      <c r="L28" s="41">
        <v>83515.5</v>
      </c>
      <c r="M28" s="48">
        <v>88152.777777777781</v>
      </c>
    </row>
    <row r="29" spans="10:13" x14ac:dyDescent="0.35">
      <c r="J29" s="47" t="s">
        <v>24</v>
      </c>
      <c r="K29" s="41"/>
      <c r="L29" s="41">
        <v>42429</v>
      </c>
      <c r="M29" s="48">
        <v>87443.375</v>
      </c>
    </row>
    <row r="30" spans="10:13" x14ac:dyDescent="0.35">
      <c r="J30" s="47" t="s">
        <v>26</v>
      </c>
      <c r="K30" s="41">
        <v>71555.333333333328</v>
      </c>
      <c r="L30" s="41">
        <v>79047</v>
      </c>
      <c r="M30" s="48">
        <v>91315.307692307688</v>
      </c>
    </row>
    <row r="31" spans="10:13" ht="15" thickBot="1" x14ac:dyDescent="0.4">
      <c r="J31" s="49" t="s">
        <v>27</v>
      </c>
      <c r="K31" s="50">
        <v>55746</v>
      </c>
      <c r="L31" s="50">
        <v>58314</v>
      </c>
      <c r="M31" s="51">
        <v>79581</v>
      </c>
    </row>
    <row r="65" spans="1:5" x14ac:dyDescent="0.35">
      <c r="A65" s="23" t="s">
        <v>4</v>
      </c>
      <c r="B65" s="24" t="s">
        <v>5</v>
      </c>
      <c r="C65" s="2" t="s">
        <v>6</v>
      </c>
      <c r="D65" s="24" t="s">
        <v>7</v>
      </c>
      <c r="E65" s="24" t="s">
        <v>8</v>
      </c>
    </row>
    <row r="66" spans="1:5" x14ac:dyDescent="0.35">
      <c r="A66" s="10" t="s">
        <v>9</v>
      </c>
      <c r="B66" s="36">
        <v>141381</v>
      </c>
      <c r="C66" s="2">
        <v>13</v>
      </c>
      <c r="D66" s="36">
        <v>96430.846153846156</v>
      </c>
      <c r="E66" s="36">
        <v>1253601</v>
      </c>
    </row>
    <row r="67" spans="1:5" x14ac:dyDescent="0.35">
      <c r="A67" s="10" t="s">
        <v>10</v>
      </c>
      <c r="B67" s="36">
        <v>149123</v>
      </c>
      <c r="C67" s="2">
        <v>10</v>
      </c>
      <c r="D67" s="36">
        <v>84239.9</v>
      </c>
      <c r="E67" s="36">
        <v>842399</v>
      </c>
    </row>
    <row r="68" spans="1:5" x14ac:dyDescent="0.35">
      <c r="A68" s="10" t="s">
        <v>11</v>
      </c>
      <c r="B68" s="36">
        <v>134616</v>
      </c>
      <c r="C68" s="2">
        <v>7</v>
      </c>
      <c r="D68" s="36">
        <v>82945.142857142855</v>
      </c>
      <c r="E68" s="36">
        <v>580616</v>
      </c>
    </row>
    <row r="69" spans="1:5" x14ac:dyDescent="0.35">
      <c r="A69" s="10" t="s">
        <v>12</v>
      </c>
      <c r="B69" s="36">
        <v>130983</v>
      </c>
      <c r="C69" s="2">
        <v>10</v>
      </c>
      <c r="D69" s="36">
        <v>76520.5</v>
      </c>
      <c r="E69" s="36">
        <v>765205</v>
      </c>
    </row>
    <row r="70" spans="1:5" x14ac:dyDescent="0.35">
      <c r="A70" s="10" t="s">
        <v>13</v>
      </c>
      <c r="B70" s="36">
        <v>118179</v>
      </c>
      <c r="C70" s="2">
        <v>10</v>
      </c>
      <c r="D70" s="36">
        <v>67261.899999999994</v>
      </c>
      <c r="E70" s="36">
        <v>672619</v>
      </c>
    </row>
    <row r="71" spans="1:5" x14ac:dyDescent="0.35">
      <c r="A71" s="10" t="s">
        <v>14</v>
      </c>
      <c r="B71" s="36">
        <v>149123</v>
      </c>
      <c r="C71" s="2">
        <v>50</v>
      </c>
      <c r="D71" s="24">
        <v>82288.800000000003</v>
      </c>
      <c r="E71" s="36">
        <v>4114440</v>
      </c>
    </row>
  </sheetData>
  <mergeCells count="2">
    <mergeCell ref="J25:M25"/>
    <mergeCell ref="A1:X2"/>
  </mergeCells>
  <phoneticPr fontId="28" type="noConversion"/>
  <conditionalFormatting pivot="1" sqref="K28:M3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8656-EB46-416C-A26D-8DFD2ADF0F2A}">
  <dimension ref="A1:D9"/>
  <sheetViews>
    <sheetView workbookViewId="0">
      <selection activeCell="C13" sqref="C13"/>
    </sheetView>
  </sheetViews>
  <sheetFormatPr defaultRowHeight="14.5" x14ac:dyDescent="0.35"/>
  <cols>
    <col min="1" max="1" width="14.1796875" bestFit="1" customWidth="1"/>
    <col min="2" max="2" width="21.36328125" bestFit="1" customWidth="1"/>
    <col min="3" max="3" width="27.1796875" bestFit="1" customWidth="1"/>
    <col min="4" max="4" width="25.453125" bestFit="1" customWidth="1"/>
  </cols>
  <sheetData>
    <row r="1" spans="1:4" x14ac:dyDescent="0.35">
      <c r="A1" s="13" t="s">
        <v>4</v>
      </c>
      <c r="B1" s="34" t="s">
        <v>15</v>
      </c>
      <c r="C1" s="34" t="s">
        <v>16</v>
      </c>
      <c r="D1" s="22" t="s">
        <v>17</v>
      </c>
    </row>
    <row r="2" spans="1:4" x14ac:dyDescent="0.35">
      <c r="A2" s="10" t="s">
        <v>13</v>
      </c>
      <c r="B2" s="56">
        <v>672619</v>
      </c>
      <c r="C2" s="56">
        <v>706249.95</v>
      </c>
      <c r="D2" s="57">
        <f>C2-B2</f>
        <v>33630.949999999953</v>
      </c>
    </row>
    <row r="3" spans="1:4" x14ac:dyDescent="0.35">
      <c r="A3" s="10" t="s">
        <v>11</v>
      </c>
      <c r="B3" s="56">
        <v>580616</v>
      </c>
      <c r="C3" s="56">
        <v>609646.80000000005</v>
      </c>
      <c r="D3" s="57">
        <f t="shared" ref="D3:D7" si="0">C3-B3</f>
        <v>29030.800000000047</v>
      </c>
    </row>
    <row r="4" spans="1:4" x14ac:dyDescent="0.35">
      <c r="A4" s="10" t="s">
        <v>12</v>
      </c>
      <c r="B4" s="56">
        <v>765205</v>
      </c>
      <c r="C4" s="56">
        <v>803465.25000000012</v>
      </c>
      <c r="D4" s="57">
        <f t="shared" si="0"/>
        <v>38260.250000000116</v>
      </c>
    </row>
    <row r="5" spans="1:4" x14ac:dyDescent="0.35">
      <c r="A5" s="10" t="s">
        <v>9</v>
      </c>
      <c r="B5" s="56">
        <v>1253601</v>
      </c>
      <c r="C5" s="56">
        <v>1316281.0500000003</v>
      </c>
      <c r="D5" s="57">
        <f t="shared" si="0"/>
        <v>62680.050000000279</v>
      </c>
    </row>
    <row r="6" spans="1:4" x14ac:dyDescent="0.35">
      <c r="A6" s="10" t="s">
        <v>10</v>
      </c>
      <c r="B6" s="56">
        <v>842399</v>
      </c>
      <c r="C6" s="56">
        <v>884518.95000000007</v>
      </c>
      <c r="D6" s="57">
        <f t="shared" si="0"/>
        <v>42119.95000000007</v>
      </c>
    </row>
    <row r="7" spans="1:4" x14ac:dyDescent="0.35">
      <c r="A7" s="10" t="s">
        <v>14</v>
      </c>
      <c r="B7" s="56">
        <v>4114440</v>
      </c>
      <c r="C7" s="56">
        <v>4320162</v>
      </c>
      <c r="D7" s="58">
        <f t="shared" si="0"/>
        <v>205722</v>
      </c>
    </row>
    <row r="9" spans="1:4" x14ac:dyDescent="0.35">
      <c r="A9"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6752-3778-489F-8082-04D17ECF2BC4}">
  <dimension ref="A1:G59"/>
  <sheetViews>
    <sheetView workbookViewId="0">
      <selection activeCell="D10" sqref="D10"/>
    </sheetView>
  </sheetViews>
  <sheetFormatPr defaultRowHeight="14.5" x14ac:dyDescent="0.35"/>
  <cols>
    <col min="1" max="1" width="16.453125" bestFit="1" customWidth="1"/>
    <col min="2" max="2" width="24.453125" bestFit="1" customWidth="1"/>
    <col min="3" max="3" width="9.54296875" bestFit="1" customWidth="1"/>
    <col min="4" max="4" width="23.54296875" bestFit="1" customWidth="1"/>
    <col min="5" max="5" width="16.54296875" bestFit="1" customWidth="1"/>
    <col min="6" max="7" width="7.81640625" bestFit="1" customWidth="1"/>
    <col min="8" max="8" width="10.7265625" bestFit="1" customWidth="1"/>
  </cols>
  <sheetData>
    <row r="1" spans="1:7" ht="15" thickBot="1" x14ac:dyDescent="0.4">
      <c r="D1" s="71" t="s">
        <v>124</v>
      </c>
      <c r="E1" s="72"/>
      <c r="F1" s="72"/>
      <c r="G1" s="73"/>
    </row>
    <row r="2" spans="1:7" x14ac:dyDescent="0.35">
      <c r="A2" s="15" t="s">
        <v>4</v>
      </c>
      <c r="B2" s="2" t="s">
        <v>6</v>
      </c>
      <c r="D2" s="52" t="s">
        <v>18</v>
      </c>
      <c r="E2" s="53" t="s">
        <v>19</v>
      </c>
      <c r="F2" s="54"/>
      <c r="G2" s="55"/>
    </row>
    <row r="3" spans="1:7" x14ac:dyDescent="0.35">
      <c r="A3" s="2" t="s">
        <v>13</v>
      </c>
      <c r="B3" s="2">
        <v>10</v>
      </c>
      <c r="D3" s="45" t="s">
        <v>20</v>
      </c>
      <c r="E3" s="3" t="s">
        <v>22</v>
      </c>
      <c r="F3" s="3" t="s">
        <v>23</v>
      </c>
      <c r="G3" s="46" t="s">
        <v>21</v>
      </c>
    </row>
    <row r="4" spans="1:7" x14ac:dyDescent="0.35">
      <c r="A4" s="2" t="s">
        <v>11</v>
      </c>
      <c r="B4" s="2">
        <v>7</v>
      </c>
      <c r="D4" s="47" t="s">
        <v>25</v>
      </c>
      <c r="E4" s="41">
        <v>43711</v>
      </c>
      <c r="F4" s="41">
        <v>83515.5</v>
      </c>
      <c r="G4" s="48">
        <v>88152.777777777781</v>
      </c>
    </row>
    <row r="5" spans="1:7" x14ac:dyDescent="0.35">
      <c r="A5" s="2" t="s">
        <v>12</v>
      </c>
      <c r="B5" s="2">
        <v>10</v>
      </c>
      <c r="D5" s="47" t="s">
        <v>24</v>
      </c>
      <c r="E5" s="41"/>
      <c r="F5" s="41">
        <v>42429</v>
      </c>
      <c r="G5" s="48">
        <v>87443.375</v>
      </c>
    </row>
    <row r="6" spans="1:7" x14ac:dyDescent="0.35">
      <c r="A6" s="2" t="s">
        <v>9</v>
      </c>
      <c r="B6" s="2">
        <v>13</v>
      </c>
      <c r="D6" s="47" t="s">
        <v>26</v>
      </c>
      <c r="E6" s="41">
        <v>71555.333333333328</v>
      </c>
      <c r="F6" s="41">
        <v>79047</v>
      </c>
      <c r="G6" s="48">
        <v>91315.307692307688</v>
      </c>
    </row>
    <row r="7" spans="1:7" ht="15" thickBot="1" x14ac:dyDescent="0.4">
      <c r="A7" s="2" t="s">
        <v>10</v>
      </c>
      <c r="B7" s="2">
        <v>10</v>
      </c>
      <c r="D7" s="49" t="s">
        <v>27</v>
      </c>
      <c r="E7" s="50">
        <v>55746</v>
      </c>
      <c r="F7" s="50">
        <v>58314</v>
      </c>
      <c r="G7" s="51">
        <v>79581</v>
      </c>
    </row>
    <row r="8" spans="1:7" x14ac:dyDescent="0.35">
      <c r="A8" s="2" t="s">
        <v>14</v>
      </c>
      <c r="B8" s="2">
        <v>50</v>
      </c>
    </row>
    <row r="9" spans="1:7" x14ac:dyDescent="0.35">
      <c r="A9" s="1"/>
      <c r="B9" s="1"/>
    </row>
    <row r="10" spans="1:7" x14ac:dyDescent="0.35">
      <c r="A10" s="15" t="s">
        <v>28</v>
      </c>
      <c r="B10" s="19" t="s">
        <v>15</v>
      </c>
    </row>
    <row r="11" spans="1:7" x14ac:dyDescent="0.35">
      <c r="A11" s="2">
        <v>1</v>
      </c>
      <c r="B11" s="44">
        <v>186044</v>
      </c>
    </row>
    <row r="12" spans="1:7" x14ac:dyDescent="0.35">
      <c r="A12" s="2">
        <v>2</v>
      </c>
      <c r="B12" s="44">
        <v>128079</v>
      </c>
    </row>
    <row r="13" spans="1:7" x14ac:dyDescent="0.35">
      <c r="A13" s="2">
        <v>3</v>
      </c>
      <c r="B13" s="44">
        <v>212854</v>
      </c>
    </row>
    <row r="14" spans="1:7" x14ac:dyDescent="0.35">
      <c r="A14" s="2">
        <v>4</v>
      </c>
      <c r="B14" s="44">
        <v>321955</v>
      </c>
    </row>
    <row r="15" spans="1:7" x14ac:dyDescent="0.35">
      <c r="A15" s="2">
        <v>5</v>
      </c>
      <c r="B15" s="44">
        <v>28420</v>
      </c>
    </row>
    <row r="16" spans="1:7" x14ac:dyDescent="0.35">
      <c r="A16" s="2">
        <v>6</v>
      </c>
      <c r="B16" s="44">
        <v>28436</v>
      </c>
    </row>
    <row r="17" spans="1:2" x14ac:dyDescent="0.35">
      <c r="A17" s="2">
        <v>7</v>
      </c>
      <c r="B17" s="44">
        <v>176762</v>
      </c>
    </row>
    <row r="18" spans="1:2" x14ac:dyDescent="0.35">
      <c r="A18" s="2">
        <v>8</v>
      </c>
      <c r="B18" s="44">
        <v>654211</v>
      </c>
    </row>
    <row r="19" spans="1:2" x14ac:dyDescent="0.35">
      <c r="A19" s="2">
        <v>9</v>
      </c>
      <c r="B19" s="44">
        <v>277069</v>
      </c>
    </row>
    <row r="20" spans="1:2" x14ac:dyDescent="0.35">
      <c r="A20" s="2">
        <v>10</v>
      </c>
      <c r="B20" s="44">
        <v>295419</v>
      </c>
    </row>
    <row r="21" spans="1:2" x14ac:dyDescent="0.35">
      <c r="A21" s="2">
        <v>11</v>
      </c>
      <c r="B21" s="44">
        <v>61212</v>
      </c>
    </row>
    <row r="22" spans="1:2" x14ac:dyDescent="0.35">
      <c r="A22" s="2">
        <v>12</v>
      </c>
      <c r="B22" s="44">
        <v>182286</v>
      </c>
    </row>
    <row r="23" spans="1:2" x14ac:dyDescent="0.35">
      <c r="A23" s="2">
        <v>13</v>
      </c>
      <c r="B23" s="44">
        <v>278582</v>
      </c>
    </row>
    <row r="24" spans="1:2" x14ac:dyDescent="0.35">
      <c r="A24" s="2">
        <v>14</v>
      </c>
      <c r="B24" s="44">
        <v>180170</v>
      </c>
    </row>
    <row r="25" spans="1:2" x14ac:dyDescent="0.35">
      <c r="A25" s="2">
        <v>15</v>
      </c>
      <c r="B25" s="44">
        <v>513986</v>
      </c>
    </row>
    <row r="26" spans="1:2" x14ac:dyDescent="0.35">
      <c r="A26" s="2">
        <v>16</v>
      </c>
      <c r="B26" s="44">
        <v>241067</v>
      </c>
    </row>
    <row r="27" spans="1:2" x14ac:dyDescent="0.35">
      <c r="A27" s="2">
        <v>17</v>
      </c>
      <c r="B27" s="44">
        <v>117032</v>
      </c>
    </row>
    <row r="28" spans="1:2" x14ac:dyDescent="0.35">
      <c r="A28" s="2">
        <v>18</v>
      </c>
      <c r="B28" s="44">
        <v>162331</v>
      </c>
    </row>
    <row r="29" spans="1:2" x14ac:dyDescent="0.35">
      <c r="A29" s="2">
        <v>19</v>
      </c>
      <c r="B29" s="44">
        <v>68525</v>
      </c>
    </row>
    <row r="30" spans="1:2" x14ac:dyDescent="0.35">
      <c r="A30" s="2" t="s">
        <v>14</v>
      </c>
      <c r="B30" s="44">
        <v>4114440</v>
      </c>
    </row>
    <row r="31" spans="1:2" x14ac:dyDescent="0.35">
      <c r="A31" s="14"/>
    </row>
    <row r="32" spans="1:2" x14ac:dyDescent="0.35">
      <c r="A32" s="15" t="s">
        <v>4</v>
      </c>
      <c r="B32" s="19" t="s">
        <v>18</v>
      </c>
    </row>
    <row r="33" spans="1:3" x14ac:dyDescent="0.35">
      <c r="A33" s="2" t="s">
        <v>9</v>
      </c>
      <c r="B33" s="44">
        <v>96430.846153846156</v>
      </c>
    </row>
    <row r="34" spans="1:3" x14ac:dyDescent="0.35">
      <c r="A34" s="2" t="s">
        <v>10</v>
      </c>
      <c r="B34" s="44">
        <v>84239.9</v>
      </c>
    </row>
    <row r="35" spans="1:3" x14ac:dyDescent="0.35">
      <c r="A35" s="2" t="s">
        <v>11</v>
      </c>
      <c r="B35" s="44">
        <v>82945.142857142855</v>
      </c>
    </row>
    <row r="36" spans="1:3" x14ac:dyDescent="0.35">
      <c r="A36" s="2" t="s">
        <v>12</v>
      </c>
      <c r="B36" s="44">
        <v>76520.5</v>
      </c>
    </row>
    <row r="37" spans="1:3" x14ac:dyDescent="0.35">
      <c r="A37" s="2" t="s">
        <v>13</v>
      </c>
      <c r="B37" s="44">
        <v>67261.899999999994</v>
      </c>
    </row>
    <row r="38" spans="1:3" x14ac:dyDescent="0.35">
      <c r="A38" s="2" t="s">
        <v>14</v>
      </c>
      <c r="B38" s="44">
        <v>82288.800000000003</v>
      </c>
    </row>
    <row r="40" spans="1:3" x14ac:dyDescent="0.35">
      <c r="A40" s="13" t="s">
        <v>37</v>
      </c>
      <c r="B40" s="2" t="s">
        <v>121</v>
      </c>
      <c r="C40" s="3" t="s">
        <v>122</v>
      </c>
    </row>
    <row r="41" spans="1:3" x14ac:dyDescent="0.35">
      <c r="A41" s="10" t="s">
        <v>10</v>
      </c>
      <c r="B41" s="41">
        <v>149123</v>
      </c>
      <c r="C41" s="42">
        <v>31893</v>
      </c>
    </row>
    <row r="42" spans="1:3" x14ac:dyDescent="0.35">
      <c r="A42" s="10" t="s">
        <v>9</v>
      </c>
      <c r="B42" s="41">
        <v>141381</v>
      </c>
      <c r="C42" s="42">
        <v>30895</v>
      </c>
    </row>
    <row r="43" spans="1:3" x14ac:dyDescent="0.35">
      <c r="A43" s="10" t="s">
        <v>12</v>
      </c>
      <c r="B43" s="41">
        <v>130983</v>
      </c>
      <c r="C43" s="42">
        <v>30600</v>
      </c>
    </row>
    <row r="44" spans="1:3" x14ac:dyDescent="0.35">
      <c r="A44" s="10" t="s">
        <v>11</v>
      </c>
      <c r="B44" s="41">
        <v>134616</v>
      </c>
      <c r="C44" s="42">
        <v>43589</v>
      </c>
    </row>
    <row r="45" spans="1:3" x14ac:dyDescent="0.35">
      <c r="A45" s="10" t="s">
        <v>13</v>
      </c>
      <c r="B45" s="41">
        <v>118179</v>
      </c>
      <c r="C45" s="42">
        <v>28420</v>
      </c>
    </row>
    <row r="46" spans="1:3" x14ac:dyDescent="0.35">
      <c r="A46" s="10" t="s">
        <v>14</v>
      </c>
      <c r="B46" s="41">
        <v>149123</v>
      </c>
      <c r="C46" s="42">
        <v>28420</v>
      </c>
    </row>
    <row r="48" spans="1:3" x14ac:dyDescent="0.35">
      <c r="A48" s="43" t="s">
        <v>37</v>
      </c>
      <c r="B48" s="40" t="s">
        <v>123</v>
      </c>
    </row>
    <row r="49" spans="1:2" x14ac:dyDescent="0.35">
      <c r="A49" s="10" t="s">
        <v>10</v>
      </c>
      <c r="B49" s="41">
        <f>B41-C41</f>
        <v>117230</v>
      </c>
    </row>
    <row r="50" spans="1:2" x14ac:dyDescent="0.35">
      <c r="A50" s="10" t="s">
        <v>9</v>
      </c>
      <c r="B50" s="41">
        <f>B42-C42</f>
        <v>110486</v>
      </c>
    </row>
    <row r="51" spans="1:2" x14ac:dyDescent="0.35">
      <c r="A51" s="10" t="s">
        <v>12</v>
      </c>
      <c r="B51" s="41">
        <f>B43-C43</f>
        <v>100383</v>
      </c>
    </row>
    <row r="52" spans="1:2" x14ac:dyDescent="0.35">
      <c r="A52" s="10" t="s">
        <v>11</v>
      </c>
      <c r="B52" s="41">
        <f>B44-C44</f>
        <v>91027</v>
      </c>
    </row>
    <row r="53" spans="1:2" x14ac:dyDescent="0.35">
      <c r="A53" s="10" t="s">
        <v>13</v>
      </c>
      <c r="B53" s="41">
        <f>B45-C45</f>
        <v>89759</v>
      </c>
    </row>
    <row r="55" spans="1:2" x14ac:dyDescent="0.35">
      <c r="A55" s="13" t="s">
        <v>19</v>
      </c>
      <c r="B55" s="3" t="s">
        <v>18</v>
      </c>
    </row>
    <row r="56" spans="1:2" x14ac:dyDescent="0.35">
      <c r="A56" s="10" t="s">
        <v>22</v>
      </c>
      <c r="B56" s="42">
        <v>62824.6</v>
      </c>
    </row>
    <row r="57" spans="1:2" x14ac:dyDescent="0.35">
      <c r="A57" s="10" t="s">
        <v>23</v>
      </c>
      <c r="B57" s="42">
        <v>70403.625</v>
      </c>
    </row>
    <row r="58" spans="1:2" x14ac:dyDescent="0.35">
      <c r="A58" s="10" t="s">
        <v>21</v>
      </c>
      <c r="B58" s="42">
        <v>87488.864864864867</v>
      </c>
    </row>
    <row r="59" spans="1:2" x14ac:dyDescent="0.35">
      <c r="A59" s="10" t="s">
        <v>14</v>
      </c>
      <c r="B59" s="35">
        <v>82288.800000000003</v>
      </c>
    </row>
  </sheetData>
  <mergeCells count="1">
    <mergeCell ref="D1:G1"/>
  </mergeCells>
  <conditionalFormatting pivot="1" sqref="E4:G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584A4-6511-4E18-8E37-3A388E842D10}">
  <sheetPr codeName="Sheet3"/>
  <dimension ref="A1:AC56"/>
  <sheetViews>
    <sheetView zoomScale="68" zoomScaleNormal="100" workbookViewId="0">
      <selection activeCell="Z5" sqref="Z5"/>
    </sheetView>
  </sheetViews>
  <sheetFormatPr defaultRowHeight="14.5" x14ac:dyDescent="0.35"/>
  <cols>
    <col min="1" max="1" width="10.81640625" style="1" bestFit="1" customWidth="1"/>
    <col min="2" max="2" width="12" bestFit="1" customWidth="1"/>
    <col min="3" max="3" width="11.453125" bestFit="1" customWidth="1"/>
    <col min="4" max="4" width="15.81640625" style="1" bestFit="1" customWidth="1"/>
    <col min="5" max="5" width="15.1796875" style="1" bestFit="1" customWidth="1"/>
    <col min="6" max="6" width="9.26953125" style="1" customWidth="1"/>
    <col min="8" max="8" width="10" bestFit="1" customWidth="1"/>
    <col min="9" max="9" width="13.81640625" style="1" bestFit="1" customWidth="1"/>
    <col min="10" max="10" width="13.453125" style="1" bestFit="1" customWidth="1"/>
    <col min="11" max="11" width="17" bestFit="1" customWidth="1"/>
    <col min="12" max="12" width="25.453125" style="1" bestFit="1" customWidth="1"/>
    <col min="13" max="13" width="25.81640625" bestFit="1" customWidth="1"/>
    <col min="14" max="14" width="20.7265625" bestFit="1" customWidth="1"/>
    <col min="15" max="15" width="21.1796875" bestFit="1" customWidth="1"/>
    <col min="16" max="16" width="16.54296875" bestFit="1" customWidth="1"/>
    <col min="17" max="17" width="11.453125" bestFit="1" customWidth="1"/>
    <col min="18" max="18" width="19.453125" bestFit="1" customWidth="1"/>
    <col min="19" max="20" width="19.453125" customWidth="1"/>
    <col min="21" max="21" width="9.7265625" customWidth="1"/>
    <col min="25" max="25" width="41.54296875" style="1" bestFit="1" customWidth="1"/>
    <col min="26" max="26" width="16.453125" style="1" bestFit="1" customWidth="1"/>
    <col min="27" max="27" width="4.81640625" style="1" customWidth="1"/>
    <col min="28" max="28" width="15.453125" bestFit="1" customWidth="1"/>
    <col min="29" max="29" width="15.26953125" bestFit="1" customWidth="1"/>
  </cols>
  <sheetData>
    <row r="1" spans="1:29" ht="14.5" customHeight="1" thickBot="1" x14ac:dyDescent="0.4">
      <c r="A1" s="80" t="s">
        <v>29</v>
      </c>
      <c r="B1" s="81"/>
      <c r="C1" s="81"/>
      <c r="D1" s="81"/>
      <c r="E1" s="81"/>
      <c r="F1" s="81"/>
      <c r="G1" s="81"/>
      <c r="H1" s="81"/>
      <c r="I1" s="81"/>
      <c r="J1" s="81"/>
      <c r="K1" s="81"/>
      <c r="L1" s="81"/>
      <c r="M1" s="81"/>
      <c r="N1" s="81"/>
      <c r="O1" s="81"/>
      <c r="P1" s="81"/>
      <c r="Q1" s="81"/>
      <c r="R1" s="81"/>
      <c r="S1" s="81"/>
      <c r="T1" s="81"/>
      <c r="U1" s="60"/>
      <c r="V1" s="74" t="s">
        <v>30</v>
      </c>
      <c r="W1" s="75"/>
    </row>
    <row r="2" spans="1:29" ht="14.5" customHeight="1" thickBot="1" x14ac:dyDescent="0.4">
      <c r="A2" s="82"/>
      <c r="B2" s="83"/>
      <c r="C2" s="83"/>
      <c r="D2" s="83"/>
      <c r="E2" s="83"/>
      <c r="F2" s="83"/>
      <c r="G2" s="83"/>
      <c r="H2" s="83"/>
      <c r="I2" s="83"/>
      <c r="J2" s="83"/>
      <c r="K2" s="83"/>
      <c r="L2" s="83"/>
      <c r="M2" s="83"/>
      <c r="N2" s="83"/>
      <c r="O2" s="83"/>
      <c r="P2" s="83"/>
      <c r="Q2" s="83"/>
      <c r="R2" s="83"/>
      <c r="S2" s="83"/>
      <c r="T2" s="83"/>
      <c r="U2" s="60"/>
      <c r="V2" s="28" t="s">
        <v>31</v>
      </c>
      <c r="W2" s="9">
        <v>0.05</v>
      </c>
      <c r="Y2" s="76" t="s">
        <v>32</v>
      </c>
      <c r="Z2" s="77"/>
      <c r="AB2" s="76" t="s">
        <v>33</v>
      </c>
      <c r="AC2" s="77"/>
    </row>
    <row r="3" spans="1:29" ht="18.5" x14ac:dyDescent="0.45">
      <c r="Y3" s="16" t="s">
        <v>34</v>
      </c>
      <c r="Z3" s="25">
        <f>COUNT(A5:A54)</f>
        <v>50</v>
      </c>
      <c r="AB3" s="78"/>
      <c r="AC3" s="79"/>
    </row>
    <row r="4" spans="1:29" ht="18.5" x14ac:dyDescent="0.45">
      <c r="A4" s="4" t="s">
        <v>35</v>
      </c>
      <c r="B4" s="4" t="s">
        <v>36</v>
      </c>
      <c r="C4" s="5" t="s">
        <v>37</v>
      </c>
      <c r="D4" s="4" t="s">
        <v>38</v>
      </c>
      <c r="E4" s="4" t="s">
        <v>39</v>
      </c>
      <c r="F4" s="4" t="s">
        <v>40</v>
      </c>
      <c r="G4" s="5" t="s">
        <v>41</v>
      </c>
      <c r="H4" s="5" t="s">
        <v>42</v>
      </c>
      <c r="I4" s="18" t="s">
        <v>43</v>
      </c>
      <c r="J4" s="4" t="s">
        <v>44</v>
      </c>
      <c r="K4" s="5" t="s">
        <v>45</v>
      </c>
      <c r="L4" s="4" t="s">
        <v>46</v>
      </c>
      <c r="M4" s="20" t="s">
        <v>47</v>
      </c>
      <c r="N4" s="21" t="s">
        <v>48</v>
      </c>
      <c r="O4" s="21" t="s">
        <v>49</v>
      </c>
      <c r="P4" s="21" t="s">
        <v>50</v>
      </c>
      <c r="Q4" s="21" t="s">
        <v>51</v>
      </c>
      <c r="R4" s="21" t="s">
        <v>52</v>
      </c>
      <c r="S4" s="21" t="s">
        <v>53</v>
      </c>
      <c r="T4" s="21" t="s">
        <v>54</v>
      </c>
      <c r="U4" s="61"/>
      <c r="Y4" s="16" t="s">
        <v>55</v>
      </c>
      <c r="Z4" s="33">
        <f>MAX(I5:I54)</f>
        <v>149123</v>
      </c>
      <c r="AB4" s="29" t="s">
        <v>56</v>
      </c>
      <c r="AC4" s="25">
        <v>2</v>
      </c>
    </row>
    <row r="5" spans="1:29" ht="18.5" x14ac:dyDescent="0.45">
      <c r="A5" s="2">
        <v>17</v>
      </c>
      <c r="B5" s="3" t="s">
        <v>87</v>
      </c>
      <c r="C5" s="3" t="s">
        <v>13</v>
      </c>
      <c r="D5" s="2">
        <v>3</v>
      </c>
      <c r="E5" s="2" t="s">
        <v>25</v>
      </c>
      <c r="F5" s="2">
        <v>50</v>
      </c>
      <c r="G5" s="3" t="s">
        <v>62</v>
      </c>
      <c r="H5" s="3" t="s">
        <v>71</v>
      </c>
      <c r="I5" s="31">
        <v>65818</v>
      </c>
      <c r="J5" s="2" t="str">
        <f t="shared" ref="J5:J36" si="0">IF(I5&lt;30000,"Low",IF(I5&lt;=70000,"Medium","High"))</f>
        <v>Medium</v>
      </c>
      <c r="K5" s="2" t="str">
        <f t="shared" ref="K5:K36" si="1">IF(D5&gt;5,"Yes","No")</f>
        <v>No</v>
      </c>
      <c r="L5" s="2" t="str">
        <f t="shared" ref="L5:L36" si="2">IF(D5&gt;=3,"Yes","No")</f>
        <v>Yes</v>
      </c>
      <c r="M5" s="32">
        <f t="shared" ref="M5:M36" si="3">I5 * 1.1</f>
        <v>72399.8</v>
      </c>
      <c r="N5" s="31">
        <f t="shared" ref="N5:N36" si="4">I5*(1+$W$2)</f>
        <v>69108.900000000009</v>
      </c>
      <c r="O5" s="30">
        <f t="shared" ref="O5:O36" si="5">IF(E5="High School",1,IF(E5="Bachelor",2,IF(E5="Master",3,IF(E5="PhD",4,""))))</f>
        <v>1</v>
      </c>
      <c r="P5" s="30">
        <f t="shared" ref="P5:P36" si="6">IF(D5&lt;=2,1,IF(D5&lt;=5,2,3))</f>
        <v>2</v>
      </c>
      <c r="Q5" s="30">
        <f t="shared" ref="Q5:Q36" si="7">IF(I5&lt;30000,1,IF(I5&lt;=70000,2,3))</f>
        <v>2</v>
      </c>
      <c r="R5" s="30" t="str">
        <f t="shared" ref="R5:R36" si="8">CHOOSE(O5,"High School","Bachelor","Master","PhD")</f>
        <v>High School</v>
      </c>
      <c r="S5" s="30" t="str">
        <f t="shared" ref="S5:S36" si="9">CHOOSE(P5,"Low","Medium","High")</f>
        <v>Medium</v>
      </c>
      <c r="T5" s="59" t="str">
        <f t="shared" ref="T5:T36" si="10">CHOOSE(Q5,"Low","Medium","High")</f>
        <v>Medium</v>
      </c>
      <c r="U5" s="1"/>
      <c r="Y5" s="16" t="s">
        <v>60</v>
      </c>
      <c r="Z5" s="33">
        <f>MIN(I5:I54)</f>
        <v>28420</v>
      </c>
      <c r="AB5" s="16" t="s">
        <v>36</v>
      </c>
      <c r="AC5" s="25" t="str">
        <f>VLOOKUP(AC4,A4:L54,2,FALSE)</f>
        <v>Employee_14</v>
      </c>
    </row>
    <row r="6" spans="1:29" ht="18.5" x14ac:dyDescent="0.45">
      <c r="A6" s="2">
        <v>36</v>
      </c>
      <c r="B6" s="3" t="s">
        <v>106</v>
      </c>
      <c r="C6" s="3" t="s">
        <v>13</v>
      </c>
      <c r="D6" s="2">
        <v>4</v>
      </c>
      <c r="E6" s="2" t="s">
        <v>25</v>
      </c>
      <c r="F6" s="2">
        <v>49</v>
      </c>
      <c r="G6" s="3" t="s">
        <v>58</v>
      </c>
      <c r="H6" s="3" t="s">
        <v>63</v>
      </c>
      <c r="I6" s="31">
        <v>101213</v>
      </c>
      <c r="J6" s="2" t="str">
        <f t="shared" si="0"/>
        <v>High</v>
      </c>
      <c r="K6" s="2" t="str">
        <f t="shared" si="1"/>
        <v>No</v>
      </c>
      <c r="L6" s="2" t="str">
        <f t="shared" si="2"/>
        <v>Yes</v>
      </c>
      <c r="M6" s="31">
        <f t="shared" si="3"/>
        <v>111334.3</v>
      </c>
      <c r="N6" s="31">
        <f t="shared" si="4"/>
        <v>106273.65000000001</v>
      </c>
      <c r="O6" s="30">
        <f t="shared" si="5"/>
        <v>1</v>
      </c>
      <c r="P6" s="30">
        <f t="shared" si="6"/>
        <v>2</v>
      </c>
      <c r="Q6" s="30">
        <f t="shared" si="7"/>
        <v>3</v>
      </c>
      <c r="R6" s="30" t="str">
        <f t="shared" si="8"/>
        <v>High School</v>
      </c>
      <c r="S6" s="30" t="str">
        <f t="shared" si="9"/>
        <v>Medium</v>
      </c>
      <c r="T6" s="30" t="str">
        <f t="shared" si="10"/>
        <v>High</v>
      </c>
      <c r="U6" s="1"/>
      <c r="Y6" s="16" t="s">
        <v>64</v>
      </c>
      <c r="Z6" s="27">
        <f>AVERAGE(D5:D54)</f>
        <v>9.9</v>
      </c>
      <c r="AB6" s="16" t="s">
        <v>65</v>
      </c>
      <c r="AC6" s="33">
        <f>VLOOKUP(AC4,A4:L54,9,FALSE)</f>
        <v>28436</v>
      </c>
    </row>
    <row r="7" spans="1:29" ht="18.5" x14ac:dyDescent="0.45">
      <c r="A7" s="2">
        <v>2</v>
      </c>
      <c r="B7" s="3" t="s">
        <v>61</v>
      </c>
      <c r="C7" s="3" t="s">
        <v>13</v>
      </c>
      <c r="D7" s="2">
        <v>6</v>
      </c>
      <c r="E7" s="2" t="s">
        <v>24</v>
      </c>
      <c r="F7" s="2">
        <v>27</v>
      </c>
      <c r="G7" s="3" t="s">
        <v>62</v>
      </c>
      <c r="H7" s="3" t="s">
        <v>63</v>
      </c>
      <c r="I7" s="31">
        <v>28436</v>
      </c>
      <c r="J7" s="2" t="str">
        <f t="shared" si="0"/>
        <v>Low</v>
      </c>
      <c r="K7" s="2" t="str">
        <f t="shared" si="1"/>
        <v>Yes</v>
      </c>
      <c r="L7" s="2" t="str">
        <f t="shared" si="2"/>
        <v>Yes</v>
      </c>
      <c r="M7" s="31">
        <f t="shared" si="3"/>
        <v>31279.600000000002</v>
      </c>
      <c r="N7" s="31">
        <f t="shared" si="4"/>
        <v>29857.800000000003</v>
      </c>
      <c r="O7" s="30">
        <f t="shared" si="5"/>
        <v>2</v>
      </c>
      <c r="P7" s="30">
        <f t="shared" si="6"/>
        <v>3</v>
      </c>
      <c r="Q7" s="30">
        <f t="shared" si="7"/>
        <v>1</v>
      </c>
      <c r="R7" s="30" t="str">
        <f t="shared" si="8"/>
        <v>Bachelor</v>
      </c>
      <c r="S7" s="30" t="str">
        <f t="shared" si="9"/>
        <v>High</v>
      </c>
      <c r="T7" s="30" t="str">
        <f t="shared" si="10"/>
        <v>Low</v>
      </c>
      <c r="U7" s="1"/>
      <c r="Y7" s="16" t="s">
        <v>67</v>
      </c>
      <c r="Z7" s="25">
        <f>COUNTIF(I5:I54,"&gt;"&amp;AVERAGE(I5:I54))</f>
        <v>21</v>
      </c>
      <c r="AB7" s="16" t="s">
        <v>37</v>
      </c>
      <c r="AC7" s="25" t="str">
        <f>VLOOKUP(AC4,A4:L54,3,FALSE)</f>
        <v>Finance</v>
      </c>
    </row>
    <row r="8" spans="1:29" ht="19" thickBot="1" x14ac:dyDescent="0.5">
      <c r="A8" s="2">
        <v>18</v>
      </c>
      <c r="B8" s="3" t="s">
        <v>88</v>
      </c>
      <c r="C8" s="3" t="s">
        <v>13</v>
      </c>
      <c r="D8" s="2">
        <v>12</v>
      </c>
      <c r="E8" s="2" t="s">
        <v>24</v>
      </c>
      <c r="F8" s="2">
        <v>38</v>
      </c>
      <c r="G8" s="3" t="s">
        <v>58</v>
      </c>
      <c r="H8" s="3" t="s">
        <v>71</v>
      </c>
      <c r="I8" s="31">
        <v>68484</v>
      </c>
      <c r="J8" s="2" t="str">
        <f t="shared" si="0"/>
        <v>Medium</v>
      </c>
      <c r="K8" s="2" t="str">
        <f t="shared" si="1"/>
        <v>Yes</v>
      </c>
      <c r="L8" s="2" t="str">
        <f t="shared" si="2"/>
        <v>Yes</v>
      </c>
      <c r="M8" s="31">
        <f t="shared" si="3"/>
        <v>75332.400000000009</v>
      </c>
      <c r="N8" s="31">
        <f t="shared" si="4"/>
        <v>71908.2</v>
      </c>
      <c r="O8" s="30">
        <f t="shared" si="5"/>
        <v>2</v>
      </c>
      <c r="P8" s="30">
        <f t="shared" si="6"/>
        <v>3</v>
      </c>
      <c r="Q8" s="30">
        <f t="shared" si="7"/>
        <v>2</v>
      </c>
      <c r="R8" s="30" t="str">
        <f t="shared" si="8"/>
        <v>Bachelor</v>
      </c>
      <c r="S8" s="30" t="str">
        <f t="shared" si="9"/>
        <v>High</v>
      </c>
      <c r="T8" s="30" t="str">
        <f t="shared" si="10"/>
        <v>Medium</v>
      </c>
      <c r="U8" s="1"/>
      <c r="Y8" s="17" t="s">
        <v>69</v>
      </c>
      <c r="Z8" s="26">
        <f>COUNTIF(I5:I54,"&gt;50000")</f>
        <v>40</v>
      </c>
      <c r="AB8" s="16" t="s">
        <v>40</v>
      </c>
      <c r="AC8" s="25">
        <f>VLOOKUP(AC4,A4:N54,6,FALSE)</f>
        <v>27</v>
      </c>
    </row>
    <row r="9" spans="1:29" ht="18.5" x14ac:dyDescent="0.45">
      <c r="A9" s="2">
        <v>12</v>
      </c>
      <c r="B9" s="3" t="s">
        <v>82</v>
      </c>
      <c r="C9" s="3" t="s">
        <v>13</v>
      </c>
      <c r="D9" s="2">
        <v>8</v>
      </c>
      <c r="E9" s="2" t="s">
        <v>26</v>
      </c>
      <c r="F9" s="2">
        <v>53</v>
      </c>
      <c r="G9" s="3" t="s">
        <v>62</v>
      </c>
      <c r="H9" s="3" t="s">
        <v>63</v>
      </c>
      <c r="I9" s="31">
        <v>57635</v>
      </c>
      <c r="J9" s="2" t="str">
        <f t="shared" si="0"/>
        <v>Medium</v>
      </c>
      <c r="K9" s="2" t="str">
        <f t="shared" si="1"/>
        <v>Yes</v>
      </c>
      <c r="L9" s="2" t="str">
        <f t="shared" si="2"/>
        <v>Yes</v>
      </c>
      <c r="M9" s="31">
        <f t="shared" si="3"/>
        <v>63398.500000000007</v>
      </c>
      <c r="N9" s="31">
        <f t="shared" si="4"/>
        <v>60516.75</v>
      </c>
      <c r="O9" s="30">
        <f t="shared" si="5"/>
        <v>3</v>
      </c>
      <c r="P9" s="30">
        <f t="shared" si="6"/>
        <v>3</v>
      </c>
      <c r="Q9" s="30">
        <f t="shared" si="7"/>
        <v>2</v>
      </c>
      <c r="R9" s="30" t="str">
        <f t="shared" si="8"/>
        <v>Master</v>
      </c>
      <c r="S9" s="30" t="str">
        <f t="shared" si="9"/>
        <v>High</v>
      </c>
      <c r="T9" s="30" t="str">
        <f t="shared" si="10"/>
        <v>Medium</v>
      </c>
      <c r="U9" s="1"/>
      <c r="AB9" s="16" t="s">
        <v>41</v>
      </c>
      <c r="AC9" s="25" t="str">
        <f>VLOOKUP(AC4,A4:N54,7,FALSE)</f>
        <v>Male</v>
      </c>
    </row>
    <row r="10" spans="1:29" ht="18.5" x14ac:dyDescent="0.45">
      <c r="A10" s="2">
        <v>23</v>
      </c>
      <c r="B10" s="3" t="s">
        <v>93</v>
      </c>
      <c r="C10" s="3" t="s">
        <v>13</v>
      </c>
      <c r="D10" s="2">
        <v>17</v>
      </c>
      <c r="E10" s="2" t="s">
        <v>26</v>
      </c>
      <c r="F10" s="2">
        <v>44</v>
      </c>
      <c r="G10" s="3" t="s">
        <v>62</v>
      </c>
      <c r="H10" s="3" t="s">
        <v>59</v>
      </c>
      <c r="I10" s="31">
        <v>72202</v>
      </c>
      <c r="J10" s="2" t="str">
        <f t="shared" si="0"/>
        <v>High</v>
      </c>
      <c r="K10" s="2" t="str">
        <f t="shared" si="1"/>
        <v>Yes</v>
      </c>
      <c r="L10" s="2" t="str">
        <f t="shared" si="2"/>
        <v>Yes</v>
      </c>
      <c r="M10" s="31">
        <f t="shared" si="3"/>
        <v>79422.200000000012</v>
      </c>
      <c r="N10" s="31">
        <f t="shared" si="4"/>
        <v>75812.100000000006</v>
      </c>
      <c r="O10" s="30">
        <f t="shared" si="5"/>
        <v>3</v>
      </c>
      <c r="P10" s="30">
        <f t="shared" si="6"/>
        <v>3</v>
      </c>
      <c r="Q10" s="30">
        <f t="shared" si="7"/>
        <v>3</v>
      </c>
      <c r="R10" s="30" t="str">
        <f t="shared" si="8"/>
        <v>Master</v>
      </c>
      <c r="S10" s="30" t="str">
        <f t="shared" si="9"/>
        <v>High</v>
      </c>
      <c r="T10" s="30" t="str">
        <f t="shared" si="10"/>
        <v>High</v>
      </c>
      <c r="U10" s="1"/>
      <c r="Y10" s="6"/>
      <c r="Z10" s="6"/>
      <c r="AA10" s="6"/>
      <c r="AB10" s="16" t="s">
        <v>73</v>
      </c>
      <c r="AC10" s="25" t="str">
        <f>VLOOKUP(AC4,A4:N54,5,FALSE)</f>
        <v>Bachelor</v>
      </c>
    </row>
    <row r="11" spans="1:29" ht="19" thickBot="1" x14ac:dyDescent="0.5">
      <c r="A11" s="2">
        <v>13</v>
      </c>
      <c r="B11" s="3" t="s">
        <v>83</v>
      </c>
      <c r="C11" s="3" t="s">
        <v>13</v>
      </c>
      <c r="D11" s="2">
        <v>3</v>
      </c>
      <c r="E11" s="2" t="s">
        <v>26</v>
      </c>
      <c r="F11" s="2">
        <v>22</v>
      </c>
      <c r="G11" s="3" t="s">
        <v>58</v>
      </c>
      <c r="H11" s="3" t="s">
        <v>63</v>
      </c>
      <c r="I11" s="31">
        <v>58828</v>
      </c>
      <c r="J11" s="2" t="str">
        <f t="shared" si="0"/>
        <v>Medium</v>
      </c>
      <c r="K11" s="2" t="str">
        <f t="shared" si="1"/>
        <v>No</v>
      </c>
      <c r="L11" s="2" t="str">
        <f t="shared" si="2"/>
        <v>Yes</v>
      </c>
      <c r="M11" s="31">
        <f t="shared" si="3"/>
        <v>64710.8</v>
      </c>
      <c r="N11" s="31">
        <f t="shared" si="4"/>
        <v>61769.4</v>
      </c>
      <c r="O11" s="30">
        <f t="shared" si="5"/>
        <v>3</v>
      </c>
      <c r="P11" s="30">
        <f t="shared" si="6"/>
        <v>2</v>
      </c>
      <c r="Q11" s="30">
        <f t="shared" si="7"/>
        <v>2</v>
      </c>
      <c r="R11" s="30" t="str">
        <f t="shared" si="8"/>
        <v>Master</v>
      </c>
      <c r="S11" s="30" t="str">
        <f t="shared" si="9"/>
        <v>Medium</v>
      </c>
      <c r="T11" s="30" t="str">
        <f t="shared" si="10"/>
        <v>Medium</v>
      </c>
      <c r="U11" s="1"/>
      <c r="Z11" s="6"/>
      <c r="AA11" s="6"/>
      <c r="AB11" s="17" t="s">
        <v>75</v>
      </c>
      <c r="AC11" s="26" t="str">
        <f>VLOOKUP(AC4,A4:N54,8,FALSE)</f>
        <v>Delhi</v>
      </c>
    </row>
    <row r="12" spans="1:29" x14ac:dyDescent="0.35">
      <c r="A12" s="2">
        <v>25</v>
      </c>
      <c r="B12" s="3" t="s">
        <v>95</v>
      </c>
      <c r="C12" s="3" t="s">
        <v>13</v>
      </c>
      <c r="D12" s="2">
        <v>4</v>
      </c>
      <c r="E12" s="2" t="s">
        <v>26</v>
      </c>
      <c r="F12" s="2">
        <v>46</v>
      </c>
      <c r="G12" s="3" t="s">
        <v>58</v>
      </c>
      <c r="H12" s="3" t="s">
        <v>63</v>
      </c>
      <c r="I12" s="31">
        <v>73404</v>
      </c>
      <c r="J12" s="2" t="str">
        <f t="shared" si="0"/>
        <v>High</v>
      </c>
      <c r="K12" s="2" t="str">
        <f t="shared" si="1"/>
        <v>No</v>
      </c>
      <c r="L12" s="2" t="str">
        <f t="shared" si="2"/>
        <v>Yes</v>
      </c>
      <c r="M12" s="31">
        <f t="shared" si="3"/>
        <v>80744.400000000009</v>
      </c>
      <c r="N12" s="31">
        <f t="shared" si="4"/>
        <v>77074.2</v>
      </c>
      <c r="O12" s="30">
        <f t="shared" si="5"/>
        <v>3</v>
      </c>
      <c r="P12" s="30">
        <f t="shared" si="6"/>
        <v>2</v>
      </c>
      <c r="Q12" s="30">
        <f t="shared" si="7"/>
        <v>3</v>
      </c>
      <c r="R12" s="30" t="str">
        <f t="shared" si="8"/>
        <v>Master</v>
      </c>
      <c r="S12" s="30" t="str">
        <f t="shared" si="9"/>
        <v>Medium</v>
      </c>
      <c r="T12" s="30" t="str">
        <f t="shared" si="10"/>
        <v>High</v>
      </c>
      <c r="U12" s="1"/>
      <c r="Y12" s="6"/>
      <c r="Z12" s="6"/>
      <c r="AA12" s="6"/>
    </row>
    <row r="13" spans="1:29" x14ac:dyDescent="0.35">
      <c r="A13" s="2">
        <v>40</v>
      </c>
      <c r="B13" s="3" t="s">
        <v>110</v>
      </c>
      <c r="C13" s="3" t="s">
        <v>13</v>
      </c>
      <c r="D13" s="2">
        <v>16</v>
      </c>
      <c r="E13" s="2" t="s">
        <v>26</v>
      </c>
      <c r="F13" s="2">
        <v>29</v>
      </c>
      <c r="G13" s="3" t="s">
        <v>58</v>
      </c>
      <c r="H13" s="3" t="s">
        <v>59</v>
      </c>
      <c r="I13" s="31">
        <v>118179</v>
      </c>
      <c r="J13" s="2" t="str">
        <f t="shared" si="0"/>
        <v>High</v>
      </c>
      <c r="K13" s="2" t="str">
        <f t="shared" si="1"/>
        <v>Yes</v>
      </c>
      <c r="L13" s="2" t="str">
        <f t="shared" si="2"/>
        <v>Yes</v>
      </c>
      <c r="M13" s="31">
        <f t="shared" si="3"/>
        <v>129996.90000000001</v>
      </c>
      <c r="N13" s="31">
        <f t="shared" si="4"/>
        <v>124087.95000000001</v>
      </c>
      <c r="O13" s="30">
        <f t="shared" si="5"/>
        <v>3</v>
      </c>
      <c r="P13" s="30">
        <f t="shared" si="6"/>
        <v>3</v>
      </c>
      <c r="Q13" s="30">
        <f t="shared" si="7"/>
        <v>3</v>
      </c>
      <c r="R13" s="30" t="str">
        <f t="shared" si="8"/>
        <v>Master</v>
      </c>
      <c r="S13" s="30" t="str">
        <f t="shared" si="9"/>
        <v>High</v>
      </c>
      <c r="T13" s="30" t="str">
        <f t="shared" si="10"/>
        <v>High</v>
      </c>
      <c r="U13" s="1"/>
      <c r="Z13" s="6"/>
      <c r="AA13" s="6"/>
    </row>
    <row r="14" spans="1:29" x14ac:dyDescent="0.35">
      <c r="A14" s="2">
        <v>1</v>
      </c>
      <c r="B14" s="3" t="s">
        <v>57</v>
      </c>
      <c r="C14" s="3" t="s">
        <v>13</v>
      </c>
      <c r="D14" s="2">
        <v>5</v>
      </c>
      <c r="E14" s="2" t="s">
        <v>27</v>
      </c>
      <c r="F14" s="2">
        <v>23</v>
      </c>
      <c r="G14" s="3" t="s">
        <v>58</v>
      </c>
      <c r="H14" s="3" t="s">
        <v>59</v>
      </c>
      <c r="I14" s="31">
        <v>28420</v>
      </c>
      <c r="J14" s="2" t="str">
        <f t="shared" si="0"/>
        <v>Low</v>
      </c>
      <c r="K14" s="2" t="str">
        <f t="shared" si="1"/>
        <v>No</v>
      </c>
      <c r="L14" s="2" t="str">
        <f t="shared" si="2"/>
        <v>Yes</v>
      </c>
      <c r="M14" s="31">
        <f t="shared" si="3"/>
        <v>31262.000000000004</v>
      </c>
      <c r="N14" s="31">
        <f t="shared" si="4"/>
        <v>29841</v>
      </c>
      <c r="O14" s="30">
        <f t="shared" si="5"/>
        <v>4</v>
      </c>
      <c r="P14" s="30">
        <f t="shared" si="6"/>
        <v>2</v>
      </c>
      <c r="Q14" s="30">
        <f t="shared" si="7"/>
        <v>1</v>
      </c>
      <c r="R14" s="30" t="str">
        <f t="shared" si="8"/>
        <v>PhD</v>
      </c>
      <c r="S14" s="30" t="str">
        <f t="shared" si="9"/>
        <v>Medium</v>
      </c>
      <c r="T14" s="30" t="str">
        <f t="shared" si="10"/>
        <v>Low</v>
      </c>
      <c r="U14" s="1"/>
      <c r="Y14" s="7"/>
      <c r="Z14" s="8"/>
      <c r="AA14" s="8"/>
    </row>
    <row r="15" spans="1:29" x14ac:dyDescent="0.35">
      <c r="A15" s="2">
        <v>28</v>
      </c>
      <c r="B15" s="3" t="s">
        <v>98</v>
      </c>
      <c r="C15" s="3" t="s">
        <v>12</v>
      </c>
      <c r="D15" s="2">
        <v>7</v>
      </c>
      <c r="E15" s="2" t="s">
        <v>25</v>
      </c>
      <c r="F15" s="2">
        <v>33</v>
      </c>
      <c r="G15" s="3" t="s">
        <v>62</v>
      </c>
      <c r="H15" s="3" t="s">
        <v>77</v>
      </c>
      <c r="I15" s="31">
        <v>81491</v>
      </c>
      <c r="J15" s="2" t="str">
        <f t="shared" si="0"/>
        <v>High</v>
      </c>
      <c r="K15" s="2" t="str">
        <f t="shared" si="1"/>
        <v>Yes</v>
      </c>
      <c r="L15" s="2" t="str">
        <f t="shared" si="2"/>
        <v>Yes</v>
      </c>
      <c r="M15" s="31">
        <f t="shared" si="3"/>
        <v>89640.1</v>
      </c>
      <c r="N15" s="31">
        <f t="shared" si="4"/>
        <v>85565.55</v>
      </c>
      <c r="O15" s="30">
        <f t="shared" si="5"/>
        <v>1</v>
      </c>
      <c r="P15" s="30">
        <f t="shared" si="6"/>
        <v>3</v>
      </c>
      <c r="Q15" s="30">
        <f t="shared" si="7"/>
        <v>3</v>
      </c>
      <c r="R15" s="30" t="str">
        <f t="shared" si="8"/>
        <v>High School</v>
      </c>
      <c r="S15" s="30" t="str">
        <f t="shared" si="9"/>
        <v>High</v>
      </c>
      <c r="T15" s="30" t="str">
        <f t="shared" si="10"/>
        <v>High</v>
      </c>
      <c r="U15" s="1"/>
      <c r="Z15" s="6"/>
      <c r="AA15" s="6"/>
    </row>
    <row r="16" spans="1:29" x14ac:dyDescent="0.35">
      <c r="A16" s="2">
        <v>20</v>
      </c>
      <c r="B16" s="3" t="s">
        <v>90</v>
      </c>
      <c r="C16" s="3" t="s">
        <v>12</v>
      </c>
      <c r="D16" s="2">
        <v>12</v>
      </c>
      <c r="E16" s="2" t="s">
        <v>25</v>
      </c>
      <c r="F16" s="2">
        <v>51</v>
      </c>
      <c r="G16" s="3" t="s">
        <v>58</v>
      </c>
      <c r="H16" s="3" t="s">
        <v>59</v>
      </c>
      <c r="I16" s="31">
        <v>69064</v>
      </c>
      <c r="J16" s="2" t="str">
        <f t="shared" si="0"/>
        <v>Medium</v>
      </c>
      <c r="K16" s="2" t="str">
        <f t="shared" si="1"/>
        <v>Yes</v>
      </c>
      <c r="L16" s="2" t="str">
        <f t="shared" si="2"/>
        <v>Yes</v>
      </c>
      <c r="M16" s="31">
        <f t="shared" si="3"/>
        <v>75970.400000000009</v>
      </c>
      <c r="N16" s="31">
        <f t="shared" si="4"/>
        <v>72517.2</v>
      </c>
      <c r="O16" s="30">
        <f t="shared" si="5"/>
        <v>1</v>
      </c>
      <c r="P16" s="30">
        <f t="shared" si="6"/>
        <v>3</v>
      </c>
      <c r="Q16" s="30">
        <f t="shared" si="7"/>
        <v>2</v>
      </c>
      <c r="R16" s="30" t="str">
        <f t="shared" si="8"/>
        <v>High School</v>
      </c>
      <c r="S16" s="30" t="str">
        <f t="shared" si="9"/>
        <v>High</v>
      </c>
      <c r="T16" s="30" t="str">
        <f t="shared" si="10"/>
        <v>Medium</v>
      </c>
      <c r="U16" s="1"/>
      <c r="Y16" s="7"/>
      <c r="Z16" s="8"/>
      <c r="AA16" s="8"/>
    </row>
    <row r="17" spans="1:27" x14ac:dyDescent="0.35">
      <c r="A17" s="2">
        <v>6</v>
      </c>
      <c r="B17" s="3" t="s">
        <v>72</v>
      </c>
      <c r="C17" s="3" t="s">
        <v>12</v>
      </c>
      <c r="D17" s="2">
        <v>4</v>
      </c>
      <c r="E17" s="2" t="s">
        <v>24</v>
      </c>
      <c r="F17" s="2">
        <v>53</v>
      </c>
      <c r="G17" s="3" t="s">
        <v>62</v>
      </c>
      <c r="H17" s="3" t="s">
        <v>59</v>
      </c>
      <c r="I17" s="31">
        <v>42429</v>
      </c>
      <c r="J17" s="2" t="str">
        <f t="shared" si="0"/>
        <v>Medium</v>
      </c>
      <c r="K17" s="2" t="str">
        <f t="shared" si="1"/>
        <v>No</v>
      </c>
      <c r="L17" s="2" t="str">
        <f t="shared" si="2"/>
        <v>Yes</v>
      </c>
      <c r="M17" s="31">
        <f t="shared" si="3"/>
        <v>46671.9</v>
      </c>
      <c r="N17" s="31">
        <f t="shared" si="4"/>
        <v>44550.450000000004</v>
      </c>
      <c r="O17" s="30">
        <f t="shared" si="5"/>
        <v>2</v>
      </c>
      <c r="P17" s="30">
        <f t="shared" si="6"/>
        <v>2</v>
      </c>
      <c r="Q17" s="30">
        <f t="shared" si="7"/>
        <v>2</v>
      </c>
      <c r="R17" s="30" t="str">
        <f t="shared" si="8"/>
        <v>Bachelor</v>
      </c>
      <c r="S17" s="30" t="str">
        <f t="shared" si="9"/>
        <v>Medium</v>
      </c>
      <c r="T17" s="30" t="str">
        <f t="shared" si="10"/>
        <v>Medium</v>
      </c>
      <c r="U17" s="1"/>
      <c r="Z17" s="6"/>
      <c r="AA17" s="6"/>
    </row>
    <row r="18" spans="1:27" x14ac:dyDescent="0.35">
      <c r="A18" s="2">
        <v>22</v>
      </c>
      <c r="B18" s="3" t="s">
        <v>92</v>
      </c>
      <c r="C18" s="3" t="s">
        <v>12</v>
      </c>
      <c r="D18" s="2">
        <v>15</v>
      </c>
      <c r="E18" s="2" t="s">
        <v>24</v>
      </c>
      <c r="F18" s="2">
        <v>54</v>
      </c>
      <c r="G18" s="3" t="s">
        <v>58</v>
      </c>
      <c r="H18" s="3" t="s">
        <v>59</v>
      </c>
      <c r="I18" s="31">
        <v>70714</v>
      </c>
      <c r="J18" s="2" t="str">
        <f t="shared" si="0"/>
        <v>High</v>
      </c>
      <c r="K18" s="2" t="str">
        <f t="shared" si="1"/>
        <v>Yes</v>
      </c>
      <c r="L18" s="2" t="str">
        <f t="shared" si="2"/>
        <v>Yes</v>
      </c>
      <c r="M18" s="31">
        <f t="shared" si="3"/>
        <v>77785.400000000009</v>
      </c>
      <c r="N18" s="31">
        <f t="shared" si="4"/>
        <v>74249.7</v>
      </c>
      <c r="O18" s="30">
        <f t="shared" si="5"/>
        <v>2</v>
      </c>
      <c r="P18" s="30">
        <f t="shared" si="6"/>
        <v>3</v>
      </c>
      <c r="Q18" s="30">
        <f t="shared" si="7"/>
        <v>3</v>
      </c>
      <c r="R18" s="30" t="str">
        <f t="shared" si="8"/>
        <v>Bachelor</v>
      </c>
      <c r="S18" s="30" t="str">
        <f t="shared" si="9"/>
        <v>High</v>
      </c>
      <c r="T18" s="30" t="str">
        <f t="shared" si="10"/>
        <v>High</v>
      </c>
      <c r="U18" s="1"/>
      <c r="Y18" s="6"/>
      <c r="Z18" s="8"/>
      <c r="AA18" s="8"/>
    </row>
    <row r="19" spans="1:27" x14ac:dyDescent="0.35">
      <c r="A19" s="2">
        <v>41</v>
      </c>
      <c r="B19" s="3" t="s">
        <v>111</v>
      </c>
      <c r="C19" s="3" t="s">
        <v>12</v>
      </c>
      <c r="D19" s="2">
        <v>8</v>
      </c>
      <c r="E19" s="2" t="s">
        <v>24</v>
      </c>
      <c r="F19" s="2">
        <v>27</v>
      </c>
      <c r="G19" s="3" t="s">
        <v>58</v>
      </c>
      <c r="H19" s="3" t="s">
        <v>63</v>
      </c>
      <c r="I19" s="31">
        <v>119660</v>
      </c>
      <c r="J19" s="2" t="str">
        <f t="shared" si="0"/>
        <v>High</v>
      </c>
      <c r="K19" s="2" t="str">
        <f t="shared" si="1"/>
        <v>Yes</v>
      </c>
      <c r="L19" s="2" t="str">
        <f t="shared" si="2"/>
        <v>Yes</v>
      </c>
      <c r="M19" s="31">
        <f t="shared" si="3"/>
        <v>131626</v>
      </c>
      <c r="N19" s="31">
        <f t="shared" si="4"/>
        <v>125643</v>
      </c>
      <c r="O19" s="30">
        <f t="shared" si="5"/>
        <v>2</v>
      </c>
      <c r="P19" s="30">
        <f t="shared" si="6"/>
        <v>3</v>
      </c>
      <c r="Q19" s="30">
        <f t="shared" si="7"/>
        <v>3</v>
      </c>
      <c r="R19" s="30" t="str">
        <f t="shared" si="8"/>
        <v>Bachelor</v>
      </c>
      <c r="S19" s="30" t="str">
        <f t="shared" si="9"/>
        <v>High</v>
      </c>
      <c r="T19" s="30" t="str">
        <f t="shared" si="10"/>
        <v>High</v>
      </c>
      <c r="U19" s="1"/>
      <c r="Z19" s="8"/>
      <c r="AA19" s="8"/>
    </row>
    <row r="20" spans="1:27" x14ac:dyDescent="0.35">
      <c r="A20" s="2">
        <v>3</v>
      </c>
      <c r="B20" s="3" t="s">
        <v>66</v>
      </c>
      <c r="C20" s="3" t="s">
        <v>12</v>
      </c>
      <c r="D20" s="2">
        <v>14</v>
      </c>
      <c r="E20" s="2" t="s">
        <v>26</v>
      </c>
      <c r="F20" s="2">
        <v>24</v>
      </c>
      <c r="G20" s="3" t="s">
        <v>62</v>
      </c>
      <c r="H20" s="3" t="s">
        <v>59</v>
      </c>
      <c r="I20" s="31">
        <v>30600</v>
      </c>
      <c r="J20" s="2" t="str">
        <f t="shared" si="0"/>
        <v>Medium</v>
      </c>
      <c r="K20" s="2" t="str">
        <f t="shared" si="1"/>
        <v>Yes</v>
      </c>
      <c r="L20" s="2" t="str">
        <f t="shared" si="2"/>
        <v>Yes</v>
      </c>
      <c r="M20" s="31">
        <f t="shared" si="3"/>
        <v>33660</v>
      </c>
      <c r="N20" s="31">
        <f t="shared" si="4"/>
        <v>32130</v>
      </c>
      <c r="O20" s="30">
        <f t="shared" si="5"/>
        <v>3</v>
      </c>
      <c r="P20" s="30">
        <f t="shared" si="6"/>
        <v>3</v>
      </c>
      <c r="Q20" s="30">
        <f t="shared" si="7"/>
        <v>2</v>
      </c>
      <c r="R20" s="30" t="str">
        <f t="shared" si="8"/>
        <v>Master</v>
      </c>
      <c r="S20" s="30" t="str">
        <f t="shared" si="9"/>
        <v>High</v>
      </c>
      <c r="T20" s="30" t="str">
        <f t="shared" si="10"/>
        <v>Medium</v>
      </c>
      <c r="U20" s="1"/>
      <c r="Y20" s="6"/>
    </row>
    <row r="21" spans="1:27" x14ac:dyDescent="0.35">
      <c r="A21" s="2">
        <v>45</v>
      </c>
      <c r="B21" s="3" t="s">
        <v>115</v>
      </c>
      <c r="C21" s="3" t="s">
        <v>12</v>
      </c>
      <c r="D21" s="2">
        <v>13</v>
      </c>
      <c r="E21" s="2" t="s">
        <v>26</v>
      </c>
      <c r="F21" s="2">
        <v>53</v>
      </c>
      <c r="G21" s="3" t="s">
        <v>62</v>
      </c>
      <c r="H21" s="3" t="s">
        <v>80</v>
      </c>
      <c r="I21" s="31">
        <v>130983</v>
      </c>
      <c r="J21" s="2" t="str">
        <f t="shared" si="0"/>
        <v>High</v>
      </c>
      <c r="K21" s="2" t="str">
        <f t="shared" si="1"/>
        <v>Yes</v>
      </c>
      <c r="L21" s="2" t="str">
        <f t="shared" si="2"/>
        <v>Yes</v>
      </c>
      <c r="M21" s="31">
        <f t="shared" si="3"/>
        <v>144081.30000000002</v>
      </c>
      <c r="N21" s="31">
        <f t="shared" si="4"/>
        <v>137532.15</v>
      </c>
      <c r="O21" s="30">
        <f t="shared" si="5"/>
        <v>3</v>
      </c>
      <c r="P21" s="30">
        <f t="shared" si="6"/>
        <v>3</v>
      </c>
      <c r="Q21" s="30">
        <f t="shared" si="7"/>
        <v>3</v>
      </c>
      <c r="R21" s="30" t="str">
        <f t="shared" si="8"/>
        <v>Master</v>
      </c>
      <c r="S21" s="30" t="str">
        <f t="shared" si="9"/>
        <v>High</v>
      </c>
      <c r="T21" s="30" t="str">
        <f t="shared" si="10"/>
        <v>High</v>
      </c>
      <c r="U21" s="1"/>
    </row>
    <row r="22" spans="1:27" x14ac:dyDescent="0.35">
      <c r="A22" s="2">
        <v>37</v>
      </c>
      <c r="B22" s="3" t="s">
        <v>107</v>
      </c>
      <c r="C22" s="3" t="s">
        <v>12</v>
      </c>
      <c r="D22" s="2">
        <v>4</v>
      </c>
      <c r="E22" s="2" t="s">
        <v>26</v>
      </c>
      <c r="F22" s="2">
        <v>49</v>
      </c>
      <c r="G22" s="3" t="s">
        <v>58</v>
      </c>
      <c r="H22" s="3" t="s">
        <v>59</v>
      </c>
      <c r="I22" s="31">
        <v>104909</v>
      </c>
      <c r="J22" s="2" t="str">
        <f t="shared" si="0"/>
        <v>High</v>
      </c>
      <c r="K22" s="2" t="str">
        <f t="shared" si="1"/>
        <v>No</v>
      </c>
      <c r="L22" s="2" t="str">
        <f t="shared" si="2"/>
        <v>Yes</v>
      </c>
      <c r="M22" s="31">
        <f t="shared" si="3"/>
        <v>115399.90000000001</v>
      </c>
      <c r="N22" s="31">
        <f t="shared" si="4"/>
        <v>110154.45000000001</v>
      </c>
      <c r="O22" s="30">
        <f t="shared" si="5"/>
        <v>3</v>
      </c>
      <c r="P22" s="30">
        <f t="shared" si="6"/>
        <v>2</v>
      </c>
      <c r="Q22" s="30">
        <f t="shared" si="7"/>
        <v>3</v>
      </c>
      <c r="R22" s="30" t="str">
        <f t="shared" si="8"/>
        <v>Master</v>
      </c>
      <c r="S22" s="30" t="str">
        <f t="shared" si="9"/>
        <v>Medium</v>
      </c>
      <c r="T22" s="30" t="str">
        <f t="shared" si="10"/>
        <v>High</v>
      </c>
      <c r="U22" s="1"/>
    </row>
    <row r="23" spans="1:27" x14ac:dyDescent="0.35">
      <c r="A23" s="2">
        <v>21</v>
      </c>
      <c r="B23" s="3" t="s">
        <v>91</v>
      </c>
      <c r="C23" s="3" t="s">
        <v>12</v>
      </c>
      <c r="D23" s="2">
        <v>14</v>
      </c>
      <c r="E23" s="2" t="s">
        <v>27</v>
      </c>
      <c r="F23" s="2">
        <v>57</v>
      </c>
      <c r="G23" s="3" t="s">
        <v>62</v>
      </c>
      <c r="H23" s="3" t="s">
        <v>71</v>
      </c>
      <c r="I23" s="31">
        <v>70525</v>
      </c>
      <c r="J23" s="2" t="str">
        <f t="shared" si="0"/>
        <v>High</v>
      </c>
      <c r="K23" s="2" t="str">
        <f t="shared" si="1"/>
        <v>Yes</v>
      </c>
      <c r="L23" s="2" t="str">
        <f t="shared" si="2"/>
        <v>Yes</v>
      </c>
      <c r="M23" s="31">
        <f t="shared" si="3"/>
        <v>77577.5</v>
      </c>
      <c r="N23" s="31">
        <f t="shared" si="4"/>
        <v>74051.25</v>
      </c>
      <c r="O23" s="30">
        <f t="shared" si="5"/>
        <v>4</v>
      </c>
      <c r="P23" s="30">
        <f t="shared" si="6"/>
        <v>3</v>
      </c>
      <c r="Q23" s="30">
        <f t="shared" si="7"/>
        <v>3</v>
      </c>
      <c r="R23" s="30" t="str">
        <f t="shared" si="8"/>
        <v>PhD</v>
      </c>
      <c r="S23" s="30" t="str">
        <f t="shared" si="9"/>
        <v>High</v>
      </c>
      <c r="T23" s="30" t="str">
        <f t="shared" si="10"/>
        <v>High</v>
      </c>
      <c r="U23" s="1"/>
    </row>
    <row r="24" spans="1:27" x14ac:dyDescent="0.35">
      <c r="A24" s="2">
        <v>10</v>
      </c>
      <c r="B24" s="3" t="s">
        <v>79</v>
      </c>
      <c r="C24" s="3" t="s">
        <v>12</v>
      </c>
      <c r="D24" s="2">
        <v>17</v>
      </c>
      <c r="E24" s="2" t="s">
        <v>27</v>
      </c>
      <c r="F24" s="2">
        <v>34</v>
      </c>
      <c r="G24" s="3" t="s">
        <v>58</v>
      </c>
      <c r="H24" s="3" t="s">
        <v>80</v>
      </c>
      <c r="I24" s="31">
        <v>44830</v>
      </c>
      <c r="J24" s="2" t="str">
        <f t="shared" si="0"/>
        <v>Medium</v>
      </c>
      <c r="K24" s="2" t="str">
        <f t="shared" si="1"/>
        <v>Yes</v>
      </c>
      <c r="L24" s="2" t="str">
        <f t="shared" si="2"/>
        <v>Yes</v>
      </c>
      <c r="M24" s="31">
        <f t="shared" si="3"/>
        <v>49313.000000000007</v>
      </c>
      <c r="N24" s="31">
        <f t="shared" si="4"/>
        <v>47071.5</v>
      </c>
      <c r="O24" s="30">
        <f t="shared" si="5"/>
        <v>4</v>
      </c>
      <c r="P24" s="30">
        <f t="shared" si="6"/>
        <v>3</v>
      </c>
      <c r="Q24" s="30">
        <f t="shared" si="7"/>
        <v>2</v>
      </c>
      <c r="R24" s="30" t="str">
        <f t="shared" si="8"/>
        <v>PhD</v>
      </c>
      <c r="S24" s="30" t="str">
        <f t="shared" si="9"/>
        <v>High</v>
      </c>
      <c r="T24" s="30" t="str">
        <f t="shared" si="10"/>
        <v>Medium</v>
      </c>
      <c r="U24" s="1"/>
    </row>
    <row r="25" spans="1:27" x14ac:dyDescent="0.35">
      <c r="A25" s="2">
        <v>16</v>
      </c>
      <c r="B25" s="3" t="s">
        <v>86</v>
      </c>
      <c r="C25" s="3" t="s">
        <v>9</v>
      </c>
      <c r="D25" s="2">
        <v>13</v>
      </c>
      <c r="E25" s="2" t="s">
        <v>25</v>
      </c>
      <c r="F25" s="2">
        <v>48</v>
      </c>
      <c r="G25" s="3" t="s">
        <v>62</v>
      </c>
      <c r="H25" s="3" t="s">
        <v>80</v>
      </c>
      <c r="I25" s="31">
        <v>65764</v>
      </c>
      <c r="J25" s="2" t="str">
        <f t="shared" si="0"/>
        <v>Medium</v>
      </c>
      <c r="K25" s="2" t="str">
        <f t="shared" si="1"/>
        <v>Yes</v>
      </c>
      <c r="L25" s="2" t="str">
        <f t="shared" si="2"/>
        <v>Yes</v>
      </c>
      <c r="M25" s="31">
        <f t="shared" si="3"/>
        <v>72340.400000000009</v>
      </c>
      <c r="N25" s="31">
        <f t="shared" si="4"/>
        <v>69052.2</v>
      </c>
      <c r="O25" s="30">
        <f t="shared" si="5"/>
        <v>1</v>
      </c>
      <c r="P25" s="30">
        <f t="shared" si="6"/>
        <v>3</v>
      </c>
      <c r="Q25" s="30">
        <f t="shared" si="7"/>
        <v>2</v>
      </c>
      <c r="R25" s="30" t="str">
        <f t="shared" si="8"/>
        <v>High School</v>
      </c>
      <c r="S25" s="30" t="str">
        <f t="shared" si="9"/>
        <v>High</v>
      </c>
      <c r="T25" s="30" t="str">
        <f t="shared" si="10"/>
        <v>Medium</v>
      </c>
      <c r="U25" s="1"/>
    </row>
    <row r="26" spans="1:27" x14ac:dyDescent="0.35">
      <c r="A26" s="2">
        <v>35</v>
      </c>
      <c r="B26" s="3" t="s">
        <v>105</v>
      </c>
      <c r="C26" s="3" t="s">
        <v>9</v>
      </c>
      <c r="D26" s="2">
        <v>18</v>
      </c>
      <c r="E26" s="2" t="s">
        <v>25</v>
      </c>
      <c r="F26" s="2">
        <v>30</v>
      </c>
      <c r="G26" s="3" t="s">
        <v>62</v>
      </c>
      <c r="H26" s="3" t="s">
        <v>63</v>
      </c>
      <c r="I26" s="31">
        <v>99543</v>
      </c>
      <c r="J26" s="2" t="str">
        <f t="shared" si="0"/>
        <v>High</v>
      </c>
      <c r="K26" s="2" t="str">
        <f t="shared" si="1"/>
        <v>Yes</v>
      </c>
      <c r="L26" s="2" t="str">
        <f t="shared" si="2"/>
        <v>Yes</v>
      </c>
      <c r="M26" s="31">
        <f t="shared" si="3"/>
        <v>109497.3</v>
      </c>
      <c r="N26" s="31">
        <f t="shared" si="4"/>
        <v>104520.15000000001</v>
      </c>
      <c r="O26" s="30">
        <f t="shared" si="5"/>
        <v>1</v>
      </c>
      <c r="P26" s="30">
        <f t="shared" si="6"/>
        <v>3</v>
      </c>
      <c r="Q26" s="30">
        <f t="shared" si="7"/>
        <v>3</v>
      </c>
      <c r="R26" s="30" t="str">
        <f t="shared" si="8"/>
        <v>High School</v>
      </c>
      <c r="S26" s="30" t="str">
        <f t="shared" si="9"/>
        <v>High</v>
      </c>
      <c r="T26" s="30" t="str">
        <f t="shared" si="10"/>
        <v>High</v>
      </c>
      <c r="U26" s="1"/>
    </row>
    <row r="27" spans="1:27" x14ac:dyDescent="0.35">
      <c r="A27" s="2">
        <v>43</v>
      </c>
      <c r="B27" s="3" t="s">
        <v>113</v>
      </c>
      <c r="C27" s="3" t="s">
        <v>9</v>
      </c>
      <c r="D27" s="2">
        <v>16</v>
      </c>
      <c r="E27" s="2" t="s">
        <v>25</v>
      </c>
      <c r="F27" s="2">
        <v>22</v>
      </c>
      <c r="G27" s="3" t="s">
        <v>62</v>
      </c>
      <c r="H27" s="3" t="s">
        <v>80</v>
      </c>
      <c r="I27" s="31">
        <v>122888</v>
      </c>
      <c r="J27" s="2" t="str">
        <f t="shared" si="0"/>
        <v>High</v>
      </c>
      <c r="K27" s="2" t="str">
        <f t="shared" si="1"/>
        <v>Yes</v>
      </c>
      <c r="L27" s="2" t="str">
        <f t="shared" si="2"/>
        <v>Yes</v>
      </c>
      <c r="M27" s="31">
        <f t="shared" si="3"/>
        <v>135176.80000000002</v>
      </c>
      <c r="N27" s="31">
        <f t="shared" si="4"/>
        <v>129032.40000000001</v>
      </c>
      <c r="O27" s="30">
        <f t="shared" si="5"/>
        <v>1</v>
      </c>
      <c r="P27" s="30">
        <f t="shared" si="6"/>
        <v>3</v>
      </c>
      <c r="Q27" s="30">
        <f t="shared" si="7"/>
        <v>3</v>
      </c>
      <c r="R27" s="30" t="str">
        <f t="shared" si="8"/>
        <v>High School</v>
      </c>
      <c r="S27" s="30" t="str">
        <f t="shared" si="9"/>
        <v>High</v>
      </c>
      <c r="T27" s="30" t="str">
        <f t="shared" si="10"/>
        <v>High</v>
      </c>
      <c r="U27" s="1"/>
    </row>
    <row r="28" spans="1:27" x14ac:dyDescent="0.35">
      <c r="A28" s="2">
        <v>19</v>
      </c>
      <c r="B28" s="3" t="s">
        <v>89</v>
      </c>
      <c r="C28" s="3" t="s">
        <v>9</v>
      </c>
      <c r="D28" s="2">
        <v>19</v>
      </c>
      <c r="E28" s="2" t="s">
        <v>25</v>
      </c>
      <c r="F28" s="2">
        <v>49</v>
      </c>
      <c r="G28" s="3" t="s">
        <v>58</v>
      </c>
      <c r="H28" s="3" t="s">
        <v>63</v>
      </c>
      <c r="I28" s="31">
        <v>68525</v>
      </c>
      <c r="J28" s="2" t="str">
        <f t="shared" si="0"/>
        <v>Medium</v>
      </c>
      <c r="K28" s="2" t="str">
        <f t="shared" si="1"/>
        <v>Yes</v>
      </c>
      <c r="L28" s="2" t="str">
        <f t="shared" si="2"/>
        <v>Yes</v>
      </c>
      <c r="M28" s="31">
        <f t="shared" si="3"/>
        <v>75377.5</v>
      </c>
      <c r="N28" s="31">
        <f t="shared" si="4"/>
        <v>71951.25</v>
      </c>
      <c r="O28" s="30">
        <f t="shared" si="5"/>
        <v>1</v>
      </c>
      <c r="P28" s="30">
        <f t="shared" si="6"/>
        <v>3</v>
      </c>
      <c r="Q28" s="30">
        <f t="shared" si="7"/>
        <v>2</v>
      </c>
      <c r="R28" s="30" t="str">
        <f t="shared" si="8"/>
        <v>High School</v>
      </c>
      <c r="S28" s="30" t="str">
        <f t="shared" si="9"/>
        <v>High</v>
      </c>
      <c r="T28" s="30" t="str">
        <f t="shared" si="10"/>
        <v>Medium</v>
      </c>
      <c r="U28" s="1"/>
    </row>
    <row r="29" spans="1:27" x14ac:dyDescent="0.35">
      <c r="A29" s="2">
        <v>42</v>
      </c>
      <c r="B29" s="3" t="s">
        <v>112</v>
      </c>
      <c r="C29" s="3" t="s">
        <v>9</v>
      </c>
      <c r="D29" s="2">
        <v>10</v>
      </c>
      <c r="E29" s="2" t="s">
        <v>25</v>
      </c>
      <c r="F29" s="2">
        <v>47</v>
      </c>
      <c r="G29" s="3" t="s">
        <v>58</v>
      </c>
      <c r="H29" s="3" t="s">
        <v>80</v>
      </c>
      <c r="I29" s="31">
        <v>121752</v>
      </c>
      <c r="J29" s="2" t="str">
        <f t="shared" si="0"/>
        <v>High</v>
      </c>
      <c r="K29" s="2" t="str">
        <f t="shared" si="1"/>
        <v>Yes</v>
      </c>
      <c r="L29" s="2" t="str">
        <f t="shared" si="2"/>
        <v>Yes</v>
      </c>
      <c r="M29" s="31">
        <f t="shared" si="3"/>
        <v>133927.20000000001</v>
      </c>
      <c r="N29" s="31">
        <f t="shared" si="4"/>
        <v>127839.6</v>
      </c>
      <c r="O29" s="30">
        <f t="shared" si="5"/>
        <v>1</v>
      </c>
      <c r="P29" s="30">
        <f t="shared" si="6"/>
        <v>3</v>
      </c>
      <c r="Q29" s="30">
        <f t="shared" si="7"/>
        <v>3</v>
      </c>
      <c r="R29" s="30" t="str">
        <f t="shared" si="8"/>
        <v>High School</v>
      </c>
      <c r="S29" s="30" t="str">
        <f t="shared" si="9"/>
        <v>High</v>
      </c>
      <c r="T29" s="30" t="str">
        <f t="shared" si="10"/>
        <v>High</v>
      </c>
      <c r="U29" s="1"/>
    </row>
    <row r="30" spans="1:27" x14ac:dyDescent="0.35">
      <c r="A30" s="2">
        <v>26</v>
      </c>
      <c r="B30" s="3" t="s">
        <v>96</v>
      </c>
      <c r="C30" s="3" t="s">
        <v>9</v>
      </c>
      <c r="D30" s="2">
        <v>10</v>
      </c>
      <c r="E30" s="2" t="s">
        <v>24</v>
      </c>
      <c r="F30" s="2">
        <v>49</v>
      </c>
      <c r="G30" s="3" t="s">
        <v>62</v>
      </c>
      <c r="H30" s="3" t="s">
        <v>80</v>
      </c>
      <c r="I30" s="31">
        <v>74377</v>
      </c>
      <c r="J30" s="2" t="str">
        <f t="shared" si="0"/>
        <v>High</v>
      </c>
      <c r="K30" s="2" t="str">
        <f t="shared" si="1"/>
        <v>Yes</v>
      </c>
      <c r="L30" s="2" t="str">
        <f t="shared" si="2"/>
        <v>Yes</v>
      </c>
      <c r="M30" s="31">
        <f t="shared" si="3"/>
        <v>81814.700000000012</v>
      </c>
      <c r="N30" s="31">
        <f t="shared" si="4"/>
        <v>78095.850000000006</v>
      </c>
      <c r="O30" s="30">
        <f t="shared" si="5"/>
        <v>2</v>
      </c>
      <c r="P30" s="30">
        <f t="shared" si="6"/>
        <v>3</v>
      </c>
      <c r="Q30" s="30">
        <f t="shared" si="7"/>
        <v>3</v>
      </c>
      <c r="R30" s="30" t="str">
        <f t="shared" si="8"/>
        <v>Bachelor</v>
      </c>
      <c r="S30" s="30" t="str">
        <f t="shared" si="9"/>
        <v>High</v>
      </c>
      <c r="T30" s="30" t="str">
        <f t="shared" si="10"/>
        <v>High</v>
      </c>
      <c r="U30" s="1"/>
    </row>
    <row r="31" spans="1:27" x14ac:dyDescent="0.35">
      <c r="A31" s="2">
        <v>38</v>
      </c>
      <c r="B31" s="3" t="s">
        <v>108</v>
      </c>
      <c r="C31" s="3" t="s">
        <v>9</v>
      </c>
      <c r="D31" s="2">
        <v>8</v>
      </c>
      <c r="E31" s="2" t="s">
        <v>24</v>
      </c>
      <c r="F31" s="2">
        <v>23</v>
      </c>
      <c r="G31" s="3" t="s">
        <v>58</v>
      </c>
      <c r="H31" s="3" t="s">
        <v>80</v>
      </c>
      <c r="I31" s="31">
        <v>107989</v>
      </c>
      <c r="J31" s="2" t="str">
        <f t="shared" si="0"/>
        <v>High</v>
      </c>
      <c r="K31" s="2" t="str">
        <f t="shared" si="1"/>
        <v>Yes</v>
      </c>
      <c r="L31" s="2" t="str">
        <f t="shared" si="2"/>
        <v>Yes</v>
      </c>
      <c r="M31" s="31">
        <f t="shared" si="3"/>
        <v>118787.90000000001</v>
      </c>
      <c r="N31" s="31">
        <f t="shared" si="4"/>
        <v>113388.45000000001</v>
      </c>
      <c r="O31" s="30">
        <f t="shared" si="5"/>
        <v>2</v>
      </c>
      <c r="P31" s="30">
        <f t="shared" si="6"/>
        <v>3</v>
      </c>
      <c r="Q31" s="30">
        <f t="shared" si="7"/>
        <v>3</v>
      </c>
      <c r="R31" s="30" t="str">
        <f t="shared" si="8"/>
        <v>Bachelor</v>
      </c>
      <c r="S31" s="30" t="str">
        <f t="shared" si="9"/>
        <v>High</v>
      </c>
      <c r="T31" s="30" t="str">
        <f t="shared" si="10"/>
        <v>High</v>
      </c>
      <c r="U31" s="1"/>
    </row>
    <row r="32" spans="1:27" x14ac:dyDescent="0.35">
      <c r="A32" s="2">
        <v>44</v>
      </c>
      <c r="B32" s="3" t="s">
        <v>114</v>
      </c>
      <c r="C32" s="3" t="s">
        <v>9</v>
      </c>
      <c r="D32" s="2">
        <v>9</v>
      </c>
      <c r="E32" s="2" t="s">
        <v>26</v>
      </c>
      <c r="F32" s="2">
        <v>36</v>
      </c>
      <c r="G32" s="3" t="s">
        <v>62</v>
      </c>
      <c r="H32" s="3" t="s">
        <v>80</v>
      </c>
      <c r="I32" s="31">
        <v>127946</v>
      </c>
      <c r="J32" s="2" t="str">
        <f t="shared" si="0"/>
        <v>High</v>
      </c>
      <c r="K32" s="2" t="str">
        <f t="shared" si="1"/>
        <v>Yes</v>
      </c>
      <c r="L32" s="2" t="str">
        <f t="shared" si="2"/>
        <v>Yes</v>
      </c>
      <c r="M32" s="31">
        <f t="shared" si="3"/>
        <v>140740.6</v>
      </c>
      <c r="N32" s="31">
        <f t="shared" si="4"/>
        <v>134343.30000000002</v>
      </c>
      <c r="O32" s="30">
        <f t="shared" si="5"/>
        <v>3</v>
      </c>
      <c r="P32" s="30">
        <f t="shared" si="6"/>
        <v>3</v>
      </c>
      <c r="Q32" s="30">
        <f t="shared" si="7"/>
        <v>3</v>
      </c>
      <c r="R32" s="30" t="str">
        <f t="shared" si="8"/>
        <v>Master</v>
      </c>
      <c r="S32" s="30" t="str">
        <f t="shared" si="9"/>
        <v>High</v>
      </c>
      <c r="T32" s="30" t="str">
        <f t="shared" si="10"/>
        <v>High</v>
      </c>
      <c r="U32" s="1"/>
    </row>
    <row r="33" spans="1:21" x14ac:dyDescent="0.35">
      <c r="A33" s="2">
        <v>4</v>
      </c>
      <c r="B33" s="3" t="s">
        <v>68</v>
      </c>
      <c r="C33" s="3" t="s">
        <v>9</v>
      </c>
      <c r="D33" s="2">
        <v>18</v>
      </c>
      <c r="E33" s="2" t="s">
        <v>26</v>
      </c>
      <c r="F33" s="2">
        <v>41</v>
      </c>
      <c r="G33" s="3" t="s">
        <v>58</v>
      </c>
      <c r="H33" s="3" t="s">
        <v>59</v>
      </c>
      <c r="I33" s="31">
        <v>30895</v>
      </c>
      <c r="J33" s="2" t="str">
        <f t="shared" si="0"/>
        <v>Medium</v>
      </c>
      <c r="K33" s="2" t="str">
        <f t="shared" si="1"/>
        <v>Yes</v>
      </c>
      <c r="L33" s="2" t="str">
        <f t="shared" si="2"/>
        <v>Yes</v>
      </c>
      <c r="M33" s="31">
        <f t="shared" si="3"/>
        <v>33984.5</v>
      </c>
      <c r="N33" s="31">
        <f t="shared" si="4"/>
        <v>32439.75</v>
      </c>
      <c r="O33" s="30">
        <f t="shared" si="5"/>
        <v>3</v>
      </c>
      <c r="P33" s="30">
        <f t="shared" si="6"/>
        <v>3</v>
      </c>
      <c r="Q33" s="30">
        <f t="shared" si="7"/>
        <v>2</v>
      </c>
      <c r="R33" s="30" t="str">
        <f t="shared" si="8"/>
        <v>Master</v>
      </c>
      <c r="S33" s="30" t="str">
        <f t="shared" si="9"/>
        <v>High</v>
      </c>
      <c r="T33" s="30" t="str">
        <f t="shared" si="10"/>
        <v>Medium</v>
      </c>
      <c r="U33" s="1"/>
    </row>
    <row r="34" spans="1:21" x14ac:dyDescent="0.35">
      <c r="A34" s="2">
        <v>29</v>
      </c>
      <c r="B34" s="3" t="s">
        <v>99</v>
      </c>
      <c r="C34" s="3" t="s">
        <v>9</v>
      </c>
      <c r="D34" s="2">
        <v>13</v>
      </c>
      <c r="E34" s="2" t="s">
        <v>26</v>
      </c>
      <c r="F34" s="2">
        <v>45</v>
      </c>
      <c r="G34" s="3" t="s">
        <v>58</v>
      </c>
      <c r="H34" s="3" t="s">
        <v>59</v>
      </c>
      <c r="I34" s="31">
        <v>81835</v>
      </c>
      <c r="J34" s="2" t="str">
        <f t="shared" si="0"/>
        <v>High</v>
      </c>
      <c r="K34" s="2" t="str">
        <f t="shared" si="1"/>
        <v>Yes</v>
      </c>
      <c r="L34" s="2" t="str">
        <f t="shared" si="2"/>
        <v>Yes</v>
      </c>
      <c r="M34" s="31">
        <f t="shared" si="3"/>
        <v>90018.5</v>
      </c>
      <c r="N34" s="31">
        <f t="shared" si="4"/>
        <v>85926.75</v>
      </c>
      <c r="O34" s="30">
        <f t="shared" si="5"/>
        <v>3</v>
      </c>
      <c r="P34" s="30">
        <f t="shared" si="6"/>
        <v>3</v>
      </c>
      <c r="Q34" s="30">
        <f t="shared" si="7"/>
        <v>3</v>
      </c>
      <c r="R34" s="30" t="str">
        <f t="shared" si="8"/>
        <v>Master</v>
      </c>
      <c r="S34" s="30" t="str">
        <f t="shared" si="9"/>
        <v>High</v>
      </c>
      <c r="T34" s="30" t="str">
        <f t="shared" si="10"/>
        <v>High</v>
      </c>
      <c r="U34" s="1"/>
    </row>
    <row r="35" spans="1:21" x14ac:dyDescent="0.35">
      <c r="A35" s="2">
        <v>39</v>
      </c>
      <c r="B35" s="3" t="s">
        <v>109</v>
      </c>
      <c r="C35" s="3" t="s">
        <v>9</v>
      </c>
      <c r="D35" s="2">
        <v>15</v>
      </c>
      <c r="E35" s="2" t="s">
        <v>26</v>
      </c>
      <c r="F35" s="2">
        <v>53</v>
      </c>
      <c r="G35" s="3" t="s">
        <v>58</v>
      </c>
      <c r="H35" s="3" t="s">
        <v>63</v>
      </c>
      <c r="I35" s="31">
        <v>111416</v>
      </c>
      <c r="J35" s="2" t="str">
        <f t="shared" si="0"/>
        <v>High</v>
      </c>
      <c r="K35" s="2" t="str">
        <f t="shared" si="1"/>
        <v>Yes</v>
      </c>
      <c r="L35" s="2" t="str">
        <f t="shared" si="2"/>
        <v>Yes</v>
      </c>
      <c r="M35" s="31">
        <f t="shared" si="3"/>
        <v>122557.6</v>
      </c>
      <c r="N35" s="31">
        <f t="shared" si="4"/>
        <v>116986.8</v>
      </c>
      <c r="O35" s="30">
        <f t="shared" si="5"/>
        <v>3</v>
      </c>
      <c r="P35" s="30">
        <f t="shared" si="6"/>
        <v>3</v>
      </c>
      <c r="Q35" s="30">
        <f t="shared" si="7"/>
        <v>3</v>
      </c>
      <c r="R35" s="30" t="str">
        <f t="shared" si="8"/>
        <v>Master</v>
      </c>
      <c r="S35" s="30" t="str">
        <f t="shared" si="9"/>
        <v>High</v>
      </c>
      <c r="T35" s="30" t="str">
        <f t="shared" si="10"/>
        <v>High</v>
      </c>
      <c r="U35" s="1"/>
    </row>
    <row r="36" spans="1:21" x14ac:dyDescent="0.35">
      <c r="A36" s="2">
        <v>49</v>
      </c>
      <c r="B36" s="3" t="s">
        <v>119</v>
      </c>
      <c r="C36" s="3" t="s">
        <v>9</v>
      </c>
      <c r="D36" s="2">
        <v>8</v>
      </c>
      <c r="E36" s="2" t="s">
        <v>27</v>
      </c>
      <c r="F36" s="2">
        <v>43</v>
      </c>
      <c r="G36" s="3" t="s">
        <v>62</v>
      </c>
      <c r="H36" s="3" t="s">
        <v>63</v>
      </c>
      <c r="I36" s="31">
        <v>141381</v>
      </c>
      <c r="J36" s="2" t="str">
        <f t="shared" si="0"/>
        <v>High</v>
      </c>
      <c r="K36" s="2" t="str">
        <f t="shared" si="1"/>
        <v>Yes</v>
      </c>
      <c r="L36" s="2" t="str">
        <f t="shared" si="2"/>
        <v>Yes</v>
      </c>
      <c r="M36" s="31">
        <f t="shared" si="3"/>
        <v>155519.1</v>
      </c>
      <c r="N36" s="31">
        <f t="shared" si="4"/>
        <v>148450.05000000002</v>
      </c>
      <c r="O36" s="30">
        <f t="shared" si="5"/>
        <v>4</v>
      </c>
      <c r="P36" s="30">
        <f t="shared" si="6"/>
        <v>3</v>
      </c>
      <c r="Q36" s="30">
        <f t="shared" si="7"/>
        <v>3</v>
      </c>
      <c r="R36" s="30" t="str">
        <f t="shared" si="8"/>
        <v>PhD</v>
      </c>
      <c r="S36" s="30" t="str">
        <f t="shared" si="9"/>
        <v>High</v>
      </c>
      <c r="T36" s="30" t="str">
        <f t="shared" si="10"/>
        <v>High</v>
      </c>
      <c r="U36" s="1"/>
    </row>
    <row r="37" spans="1:21" x14ac:dyDescent="0.35">
      <c r="A37" s="2">
        <v>34</v>
      </c>
      <c r="B37" s="3" t="s">
        <v>104</v>
      </c>
      <c r="C37" s="3" t="s">
        <v>9</v>
      </c>
      <c r="D37" s="2">
        <v>10</v>
      </c>
      <c r="E37" s="2" t="s">
        <v>27</v>
      </c>
      <c r="F37" s="2">
        <v>49</v>
      </c>
      <c r="G37" s="3" t="s">
        <v>58</v>
      </c>
      <c r="H37" s="3" t="s">
        <v>71</v>
      </c>
      <c r="I37" s="31">
        <v>99290</v>
      </c>
      <c r="J37" s="2" t="str">
        <f t="shared" ref="J37:J54" si="11">IF(I37&lt;30000,"Low",IF(I37&lt;=70000,"Medium","High"))</f>
        <v>High</v>
      </c>
      <c r="K37" s="2" t="str">
        <f t="shared" ref="K37:K54" si="12">IF(D37&gt;5,"Yes","No")</f>
        <v>Yes</v>
      </c>
      <c r="L37" s="2" t="str">
        <f t="shared" ref="L37:L54" si="13">IF(D37&gt;=3,"Yes","No")</f>
        <v>Yes</v>
      </c>
      <c r="M37" s="31">
        <f t="shared" ref="M37:M54" si="14">I37 * 1.1</f>
        <v>109219.00000000001</v>
      </c>
      <c r="N37" s="31">
        <f t="shared" ref="N37:N54" si="15">I37*(1+$W$2)</f>
        <v>104254.5</v>
      </c>
      <c r="O37" s="30">
        <f t="shared" ref="O37:O54" si="16">IF(E37="High School",1,IF(E37="Bachelor",2,IF(E37="Master",3,IF(E37="PhD",4,""))))</f>
        <v>4</v>
      </c>
      <c r="P37" s="30">
        <f t="shared" ref="P37:P54" si="17">IF(D37&lt;=2,1,IF(D37&lt;=5,2,3))</f>
        <v>3</v>
      </c>
      <c r="Q37" s="30">
        <f t="shared" ref="Q37:Q54" si="18">IF(I37&lt;30000,1,IF(I37&lt;=70000,2,3))</f>
        <v>3</v>
      </c>
      <c r="R37" s="30" t="str">
        <f t="shared" ref="R37:R54" si="19">CHOOSE(O37,"High School","Bachelor","Master","PhD")</f>
        <v>PhD</v>
      </c>
      <c r="S37" s="30" t="str">
        <f t="shared" ref="S37:S54" si="20">CHOOSE(P37,"Low","Medium","High")</f>
        <v>High</v>
      </c>
      <c r="T37" s="30" t="str">
        <f t="shared" ref="T37:T54" si="21">CHOOSE(Q37,"Low","Medium","High")</f>
        <v>High</v>
      </c>
      <c r="U37" s="1"/>
    </row>
    <row r="38" spans="1:21" x14ac:dyDescent="0.35">
      <c r="A38" s="2">
        <v>5</v>
      </c>
      <c r="B38" s="3" t="s">
        <v>70</v>
      </c>
      <c r="C38" s="3" t="s">
        <v>10</v>
      </c>
      <c r="D38" s="2">
        <v>18</v>
      </c>
      <c r="E38" s="2" t="s">
        <v>25</v>
      </c>
      <c r="F38" s="2">
        <v>28</v>
      </c>
      <c r="G38" s="3" t="s">
        <v>62</v>
      </c>
      <c r="H38" s="3" t="s">
        <v>71</v>
      </c>
      <c r="I38" s="31">
        <v>31893</v>
      </c>
      <c r="J38" s="2" t="str">
        <f t="shared" si="11"/>
        <v>Medium</v>
      </c>
      <c r="K38" s="2" t="str">
        <f t="shared" si="12"/>
        <v>Yes</v>
      </c>
      <c r="L38" s="2" t="str">
        <f t="shared" si="13"/>
        <v>Yes</v>
      </c>
      <c r="M38" s="31">
        <f t="shared" si="14"/>
        <v>35082.300000000003</v>
      </c>
      <c r="N38" s="31">
        <f t="shared" si="15"/>
        <v>33487.65</v>
      </c>
      <c r="O38" s="30">
        <f t="shared" si="16"/>
        <v>1</v>
      </c>
      <c r="P38" s="30">
        <f t="shared" si="17"/>
        <v>3</v>
      </c>
      <c r="Q38" s="30">
        <f t="shared" si="18"/>
        <v>2</v>
      </c>
      <c r="R38" s="30" t="str">
        <f t="shared" si="19"/>
        <v>High School</v>
      </c>
      <c r="S38" s="30" t="str">
        <f t="shared" si="20"/>
        <v>High</v>
      </c>
      <c r="T38" s="30" t="str">
        <f t="shared" si="21"/>
        <v>Medium</v>
      </c>
      <c r="U38" s="1"/>
    </row>
    <row r="39" spans="1:21" x14ac:dyDescent="0.35">
      <c r="A39" s="2">
        <v>8</v>
      </c>
      <c r="B39" s="3" t="s">
        <v>76</v>
      </c>
      <c r="C39" s="3" t="s">
        <v>10</v>
      </c>
      <c r="D39" s="2">
        <v>1</v>
      </c>
      <c r="E39" s="2" t="s">
        <v>25</v>
      </c>
      <c r="F39" s="2">
        <v>40</v>
      </c>
      <c r="G39" s="3" t="s">
        <v>62</v>
      </c>
      <c r="H39" s="3" t="s">
        <v>77</v>
      </c>
      <c r="I39" s="31">
        <v>43711</v>
      </c>
      <c r="J39" s="2" t="str">
        <f t="shared" si="11"/>
        <v>Medium</v>
      </c>
      <c r="K39" s="2" t="str">
        <f t="shared" si="12"/>
        <v>No</v>
      </c>
      <c r="L39" s="2" t="str">
        <f t="shared" si="13"/>
        <v>No</v>
      </c>
      <c r="M39" s="31">
        <f t="shared" si="14"/>
        <v>48082.100000000006</v>
      </c>
      <c r="N39" s="31">
        <f t="shared" si="15"/>
        <v>45896.55</v>
      </c>
      <c r="O39" s="30">
        <f t="shared" si="16"/>
        <v>1</v>
      </c>
      <c r="P39" s="30">
        <f t="shared" si="17"/>
        <v>1</v>
      </c>
      <c r="Q39" s="30">
        <f t="shared" si="18"/>
        <v>2</v>
      </c>
      <c r="R39" s="30" t="str">
        <f t="shared" si="19"/>
        <v>High School</v>
      </c>
      <c r="S39" s="30" t="str">
        <f t="shared" si="20"/>
        <v>Low</v>
      </c>
      <c r="T39" s="30" t="str">
        <f t="shared" si="21"/>
        <v>Medium</v>
      </c>
      <c r="U39" s="1"/>
    </row>
    <row r="40" spans="1:21" x14ac:dyDescent="0.35">
      <c r="A40" s="2">
        <v>32</v>
      </c>
      <c r="B40" s="3" t="s">
        <v>102</v>
      </c>
      <c r="C40" s="3" t="s">
        <v>10</v>
      </c>
      <c r="D40" s="2">
        <v>7</v>
      </c>
      <c r="E40" s="2" t="s">
        <v>24</v>
      </c>
      <c r="F40" s="2">
        <v>25</v>
      </c>
      <c r="G40" s="3" t="s">
        <v>58</v>
      </c>
      <c r="H40" s="3" t="s">
        <v>80</v>
      </c>
      <c r="I40" s="31">
        <v>95271</v>
      </c>
      <c r="J40" s="2" t="str">
        <f t="shared" si="11"/>
        <v>High</v>
      </c>
      <c r="K40" s="2" t="str">
        <f t="shared" si="12"/>
        <v>Yes</v>
      </c>
      <c r="L40" s="2" t="str">
        <f t="shared" si="13"/>
        <v>Yes</v>
      </c>
      <c r="M40" s="31">
        <f t="shared" si="14"/>
        <v>104798.1</v>
      </c>
      <c r="N40" s="31">
        <f t="shared" si="15"/>
        <v>100034.55</v>
      </c>
      <c r="O40" s="30">
        <f t="shared" si="16"/>
        <v>2</v>
      </c>
      <c r="P40" s="30">
        <f t="shared" si="17"/>
        <v>3</v>
      </c>
      <c r="Q40" s="30">
        <f t="shared" si="18"/>
        <v>3</v>
      </c>
      <c r="R40" s="30" t="str">
        <f t="shared" si="19"/>
        <v>Bachelor</v>
      </c>
      <c r="S40" s="30" t="str">
        <f t="shared" si="20"/>
        <v>High</v>
      </c>
      <c r="T40" s="30" t="str">
        <f t="shared" si="21"/>
        <v>High</v>
      </c>
      <c r="U40" s="1"/>
    </row>
    <row r="41" spans="1:21" x14ac:dyDescent="0.35">
      <c r="A41" s="2">
        <v>50</v>
      </c>
      <c r="B41" s="3" t="s">
        <v>120</v>
      </c>
      <c r="C41" s="3" t="s">
        <v>10</v>
      </c>
      <c r="D41" s="2">
        <v>9</v>
      </c>
      <c r="E41" s="2" t="s">
        <v>26</v>
      </c>
      <c r="F41" s="2">
        <v>23</v>
      </c>
      <c r="G41" s="3" t="s">
        <v>62</v>
      </c>
      <c r="H41" s="3" t="s">
        <v>71</v>
      </c>
      <c r="I41" s="31">
        <v>149123</v>
      </c>
      <c r="J41" s="2" t="str">
        <f t="shared" si="11"/>
        <v>High</v>
      </c>
      <c r="K41" s="2" t="str">
        <f t="shared" si="12"/>
        <v>Yes</v>
      </c>
      <c r="L41" s="2" t="str">
        <f t="shared" si="13"/>
        <v>Yes</v>
      </c>
      <c r="M41" s="31">
        <f t="shared" si="14"/>
        <v>164035.30000000002</v>
      </c>
      <c r="N41" s="31">
        <f t="shared" si="15"/>
        <v>156579.15</v>
      </c>
      <c r="O41" s="30">
        <f t="shared" si="16"/>
        <v>3</v>
      </c>
      <c r="P41" s="30">
        <f t="shared" si="17"/>
        <v>3</v>
      </c>
      <c r="Q41" s="30">
        <f t="shared" si="18"/>
        <v>3</v>
      </c>
      <c r="R41" s="30" t="str">
        <f t="shared" si="19"/>
        <v>Master</v>
      </c>
      <c r="S41" s="30" t="str">
        <f t="shared" si="20"/>
        <v>High</v>
      </c>
      <c r="T41" s="30" t="str">
        <f t="shared" si="21"/>
        <v>High</v>
      </c>
      <c r="U41" s="1"/>
    </row>
    <row r="42" spans="1:21" x14ac:dyDescent="0.35">
      <c r="A42" s="2">
        <v>24</v>
      </c>
      <c r="B42" s="3" t="s">
        <v>94</v>
      </c>
      <c r="C42" s="3" t="s">
        <v>10</v>
      </c>
      <c r="D42" s="2">
        <v>2</v>
      </c>
      <c r="E42" s="2" t="s">
        <v>26</v>
      </c>
      <c r="F42" s="2">
        <v>23</v>
      </c>
      <c r="G42" s="3" t="s">
        <v>58</v>
      </c>
      <c r="H42" s="3" t="s">
        <v>59</v>
      </c>
      <c r="I42" s="31">
        <v>72333</v>
      </c>
      <c r="J42" s="2" t="str">
        <f t="shared" si="11"/>
        <v>High</v>
      </c>
      <c r="K42" s="2" t="str">
        <f t="shared" si="12"/>
        <v>No</v>
      </c>
      <c r="L42" s="2" t="str">
        <f t="shared" si="13"/>
        <v>No</v>
      </c>
      <c r="M42" s="31">
        <f t="shared" si="14"/>
        <v>79566.3</v>
      </c>
      <c r="N42" s="31">
        <f t="shared" si="15"/>
        <v>75949.650000000009</v>
      </c>
      <c r="O42" s="30">
        <f t="shared" si="16"/>
        <v>3</v>
      </c>
      <c r="P42" s="30">
        <f t="shared" si="17"/>
        <v>1</v>
      </c>
      <c r="Q42" s="30">
        <f t="shared" si="18"/>
        <v>3</v>
      </c>
      <c r="R42" s="30" t="str">
        <f t="shared" si="19"/>
        <v>Master</v>
      </c>
      <c r="S42" s="30" t="str">
        <f t="shared" si="20"/>
        <v>Low</v>
      </c>
      <c r="T42" s="30" t="str">
        <f t="shared" si="21"/>
        <v>High</v>
      </c>
      <c r="U42" s="1"/>
    </row>
    <row r="43" spans="1:21" x14ac:dyDescent="0.35">
      <c r="A43" s="2">
        <v>27</v>
      </c>
      <c r="B43" s="3" t="s">
        <v>97</v>
      </c>
      <c r="C43" s="3" t="s">
        <v>10</v>
      </c>
      <c r="D43" s="2">
        <v>14</v>
      </c>
      <c r="E43" s="2" t="s">
        <v>26</v>
      </c>
      <c r="F43" s="2">
        <v>54</v>
      </c>
      <c r="G43" s="3" t="s">
        <v>58</v>
      </c>
      <c r="H43" s="3" t="s">
        <v>63</v>
      </c>
      <c r="I43" s="31">
        <v>79045</v>
      </c>
      <c r="J43" s="2" t="str">
        <f t="shared" si="11"/>
        <v>High</v>
      </c>
      <c r="K43" s="2" t="str">
        <f t="shared" si="12"/>
        <v>Yes</v>
      </c>
      <c r="L43" s="2" t="str">
        <f t="shared" si="13"/>
        <v>Yes</v>
      </c>
      <c r="M43" s="31">
        <f t="shared" si="14"/>
        <v>86949.5</v>
      </c>
      <c r="N43" s="31">
        <f t="shared" si="15"/>
        <v>82997.25</v>
      </c>
      <c r="O43" s="30">
        <f t="shared" si="16"/>
        <v>3</v>
      </c>
      <c r="P43" s="30">
        <f t="shared" si="17"/>
        <v>3</v>
      </c>
      <c r="Q43" s="30">
        <f t="shared" si="18"/>
        <v>3</v>
      </c>
      <c r="R43" s="30" t="str">
        <f t="shared" si="19"/>
        <v>Master</v>
      </c>
      <c r="S43" s="30" t="str">
        <f t="shared" si="20"/>
        <v>High</v>
      </c>
      <c r="T43" s="30" t="str">
        <f t="shared" si="21"/>
        <v>High</v>
      </c>
      <c r="U43" s="1"/>
    </row>
    <row r="44" spans="1:21" x14ac:dyDescent="0.35">
      <c r="A44" s="2">
        <v>33</v>
      </c>
      <c r="B44" s="3" t="s">
        <v>103</v>
      </c>
      <c r="C44" s="3" t="s">
        <v>10</v>
      </c>
      <c r="D44" s="2">
        <v>1</v>
      </c>
      <c r="E44" s="2" t="s">
        <v>26</v>
      </c>
      <c r="F44" s="2">
        <v>45</v>
      </c>
      <c r="G44" s="3" t="s">
        <v>58</v>
      </c>
      <c r="H44" s="3" t="s">
        <v>63</v>
      </c>
      <c r="I44" s="31">
        <v>98744</v>
      </c>
      <c r="J44" s="2" t="str">
        <f t="shared" si="11"/>
        <v>High</v>
      </c>
      <c r="K44" s="2" t="str">
        <f t="shared" si="12"/>
        <v>No</v>
      </c>
      <c r="L44" s="2" t="str">
        <f t="shared" si="13"/>
        <v>No</v>
      </c>
      <c r="M44" s="31">
        <f t="shared" si="14"/>
        <v>108618.40000000001</v>
      </c>
      <c r="N44" s="31">
        <f t="shared" si="15"/>
        <v>103681.20000000001</v>
      </c>
      <c r="O44" s="30">
        <f t="shared" si="16"/>
        <v>3</v>
      </c>
      <c r="P44" s="30">
        <f t="shared" si="17"/>
        <v>1</v>
      </c>
      <c r="Q44" s="30">
        <f t="shared" si="18"/>
        <v>3</v>
      </c>
      <c r="R44" s="30" t="str">
        <f t="shared" si="19"/>
        <v>Master</v>
      </c>
      <c r="S44" s="30" t="str">
        <f t="shared" si="20"/>
        <v>Low</v>
      </c>
      <c r="T44" s="30" t="str">
        <f t="shared" si="21"/>
        <v>High</v>
      </c>
      <c r="U44" s="1"/>
    </row>
    <row r="45" spans="1:21" x14ac:dyDescent="0.35">
      <c r="A45" s="2">
        <v>46</v>
      </c>
      <c r="B45" s="3" t="s">
        <v>116</v>
      </c>
      <c r="C45" s="3" t="s">
        <v>10</v>
      </c>
      <c r="D45" s="2">
        <v>15</v>
      </c>
      <c r="E45" s="2" t="s">
        <v>26</v>
      </c>
      <c r="F45" s="2">
        <v>36</v>
      </c>
      <c r="G45" s="3" t="s">
        <v>58</v>
      </c>
      <c r="H45" s="3" t="s">
        <v>63</v>
      </c>
      <c r="I45" s="31">
        <v>132450</v>
      </c>
      <c r="J45" s="2" t="str">
        <f t="shared" si="11"/>
        <v>High</v>
      </c>
      <c r="K45" s="2" t="str">
        <f t="shared" si="12"/>
        <v>Yes</v>
      </c>
      <c r="L45" s="2" t="str">
        <f t="shared" si="13"/>
        <v>Yes</v>
      </c>
      <c r="M45" s="31">
        <f t="shared" si="14"/>
        <v>145695</v>
      </c>
      <c r="N45" s="31">
        <f t="shared" si="15"/>
        <v>139072.5</v>
      </c>
      <c r="O45" s="30">
        <f t="shared" si="16"/>
        <v>3</v>
      </c>
      <c r="P45" s="30">
        <f t="shared" si="17"/>
        <v>3</v>
      </c>
      <c r="Q45" s="30">
        <f t="shared" si="18"/>
        <v>3</v>
      </c>
      <c r="R45" s="30" t="str">
        <f t="shared" si="19"/>
        <v>Master</v>
      </c>
      <c r="S45" s="30" t="str">
        <f t="shared" si="20"/>
        <v>High</v>
      </c>
      <c r="T45" s="30" t="str">
        <f t="shared" si="21"/>
        <v>High</v>
      </c>
      <c r="U45" s="1"/>
    </row>
    <row r="46" spans="1:21" x14ac:dyDescent="0.35">
      <c r="A46" s="2">
        <v>31</v>
      </c>
      <c r="B46" s="3" t="s">
        <v>101</v>
      </c>
      <c r="C46" s="3" t="s">
        <v>10</v>
      </c>
      <c r="D46" s="2">
        <v>8</v>
      </c>
      <c r="E46" s="2" t="s">
        <v>27</v>
      </c>
      <c r="F46" s="2">
        <v>44</v>
      </c>
      <c r="G46" s="3" t="s">
        <v>62</v>
      </c>
      <c r="H46" s="3" t="s">
        <v>63</v>
      </c>
      <c r="I46" s="31">
        <v>95091</v>
      </c>
      <c r="J46" s="2" t="str">
        <f t="shared" si="11"/>
        <v>High</v>
      </c>
      <c r="K46" s="2" t="str">
        <f t="shared" si="12"/>
        <v>Yes</v>
      </c>
      <c r="L46" s="2" t="str">
        <f t="shared" si="13"/>
        <v>Yes</v>
      </c>
      <c r="M46" s="31">
        <f t="shared" si="14"/>
        <v>104600.1</v>
      </c>
      <c r="N46" s="31">
        <f t="shared" si="15"/>
        <v>99845.55</v>
      </c>
      <c r="O46" s="30">
        <f t="shared" si="16"/>
        <v>4</v>
      </c>
      <c r="P46" s="30">
        <f t="shared" si="17"/>
        <v>3</v>
      </c>
      <c r="Q46" s="30">
        <f t="shared" si="18"/>
        <v>3</v>
      </c>
      <c r="R46" s="30" t="str">
        <f t="shared" si="19"/>
        <v>PhD</v>
      </c>
      <c r="S46" s="30" t="str">
        <f t="shared" si="20"/>
        <v>High</v>
      </c>
      <c r="T46" s="30" t="str">
        <f t="shared" si="21"/>
        <v>High</v>
      </c>
      <c r="U46" s="1"/>
    </row>
    <row r="47" spans="1:21" x14ac:dyDescent="0.35">
      <c r="A47" s="2">
        <v>9</v>
      </c>
      <c r="B47" s="3" t="s">
        <v>78</v>
      </c>
      <c r="C47" s="3" t="s">
        <v>10</v>
      </c>
      <c r="D47" s="2">
        <v>12</v>
      </c>
      <c r="E47" s="2" t="s">
        <v>27</v>
      </c>
      <c r="F47" s="2">
        <v>51</v>
      </c>
      <c r="G47" s="3" t="s">
        <v>58</v>
      </c>
      <c r="H47" s="3" t="s">
        <v>77</v>
      </c>
      <c r="I47" s="31">
        <v>44738</v>
      </c>
      <c r="J47" s="2" t="str">
        <f t="shared" si="11"/>
        <v>Medium</v>
      </c>
      <c r="K47" s="2" t="str">
        <f t="shared" si="12"/>
        <v>Yes</v>
      </c>
      <c r="L47" s="2" t="str">
        <f t="shared" si="13"/>
        <v>Yes</v>
      </c>
      <c r="M47" s="31">
        <f t="shared" si="14"/>
        <v>49211.8</v>
      </c>
      <c r="N47" s="31">
        <f t="shared" si="15"/>
        <v>46974.9</v>
      </c>
      <c r="O47" s="30">
        <f t="shared" si="16"/>
        <v>4</v>
      </c>
      <c r="P47" s="30">
        <f t="shared" si="17"/>
        <v>3</v>
      </c>
      <c r="Q47" s="30">
        <f t="shared" si="18"/>
        <v>2</v>
      </c>
      <c r="R47" s="30" t="str">
        <f t="shared" si="19"/>
        <v>PhD</v>
      </c>
      <c r="S47" s="30" t="str">
        <f t="shared" si="20"/>
        <v>High</v>
      </c>
      <c r="T47" s="30" t="str">
        <f t="shared" si="21"/>
        <v>Medium</v>
      </c>
      <c r="U47" s="1"/>
    </row>
    <row r="48" spans="1:21" x14ac:dyDescent="0.35">
      <c r="A48" s="2">
        <v>47</v>
      </c>
      <c r="B48" s="3" t="s">
        <v>117</v>
      </c>
      <c r="C48" s="3" t="s">
        <v>11</v>
      </c>
      <c r="D48" s="2">
        <v>8</v>
      </c>
      <c r="E48" s="2" t="s">
        <v>25</v>
      </c>
      <c r="F48" s="2">
        <v>34</v>
      </c>
      <c r="G48" s="3" t="s">
        <v>58</v>
      </c>
      <c r="H48" s="3" t="s">
        <v>80</v>
      </c>
      <c r="I48" s="31">
        <v>132455</v>
      </c>
      <c r="J48" s="2" t="str">
        <f t="shared" si="11"/>
        <v>High</v>
      </c>
      <c r="K48" s="2" t="str">
        <f t="shared" si="12"/>
        <v>Yes</v>
      </c>
      <c r="L48" s="2" t="str">
        <f t="shared" si="13"/>
        <v>Yes</v>
      </c>
      <c r="M48" s="31">
        <f t="shared" si="14"/>
        <v>145700.5</v>
      </c>
      <c r="N48" s="31">
        <f t="shared" si="15"/>
        <v>139077.75</v>
      </c>
      <c r="O48" s="30">
        <f t="shared" si="16"/>
        <v>1</v>
      </c>
      <c r="P48" s="30">
        <f t="shared" si="17"/>
        <v>3</v>
      </c>
      <c r="Q48" s="30">
        <f t="shared" si="18"/>
        <v>3</v>
      </c>
      <c r="R48" s="30" t="str">
        <f t="shared" si="19"/>
        <v>High School</v>
      </c>
      <c r="S48" s="30" t="str">
        <f t="shared" si="20"/>
        <v>High</v>
      </c>
      <c r="T48" s="30" t="str">
        <f t="shared" si="21"/>
        <v>High</v>
      </c>
      <c r="U48" s="1"/>
    </row>
    <row r="49" spans="1:21" x14ac:dyDescent="0.35">
      <c r="A49" s="2">
        <v>48</v>
      </c>
      <c r="B49" s="3" t="s">
        <v>118</v>
      </c>
      <c r="C49" s="3" t="s">
        <v>11</v>
      </c>
      <c r="D49" s="2">
        <v>15</v>
      </c>
      <c r="E49" s="2" t="s">
        <v>24</v>
      </c>
      <c r="F49" s="2">
        <v>53</v>
      </c>
      <c r="G49" s="3" t="s">
        <v>58</v>
      </c>
      <c r="H49" s="3" t="s">
        <v>63</v>
      </c>
      <c r="I49" s="31">
        <v>134616</v>
      </c>
      <c r="J49" s="2" t="str">
        <f t="shared" si="11"/>
        <v>High</v>
      </c>
      <c r="K49" s="2" t="str">
        <f t="shared" si="12"/>
        <v>Yes</v>
      </c>
      <c r="L49" s="2" t="str">
        <f t="shared" si="13"/>
        <v>Yes</v>
      </c>
      <c r="M49" s="31">
        <f t="shared" si="14"/>
        <v>148077.6</v>
      </c>
      <c r="N49" s="31">
        <f t="shared" si="15"/>
        <v>141346.80000000002</v>
      </c>
      <c r="O49" s="30">
        <f t="shared" si="16"/>
        <v>2</v>
      </c>
      <c r="P49" s="30">
        <f t="shared" si="17"/>
        <v>3</v>
      </c>
      <c r="Q49" s="30">
        <f t="shared" si="18"/>
        <v>3</v>
      </c>
      <c r="R49" s="30" t="str">
        <f t="shared" si="19"/>
        <v>Bachelor</v>
      </c>
      <c r="S49" s="30" t="str">
        <f t="shared" si="20"/>
        <v>High</v>
      </c>
      <c r="T49" s="30" t="str">
        <f t="shared" si="21"/>
        <v>High</v>
      </c>
      <c r="U49" s="1"/>
    </row>
    <row r="50" spans="1:21" x14ac:dyDescent="0.35">
      <c r="A50" s="2">
        <v>7</v>
      </c>
      <c r="B50" s="3" t="s">
        <v>74</v>
      </c>
      <c r="C50" s="3" t="s">
        <v>11</v>
      </c>
      <c r="D50" s="2">
        <v>1</v>
      </c>
      <c r="E50" s="2" t="s">
        <v>26</v>
      </c>
      <c r="F50" s="2">
        <v>24</v>
      </c>
      <c r="G50" s="3" t="s">
        <v>62</v>
      </c>
      <c r="H50" s="3" t="s">
        <v>71</v>
      </c>
      <c r="I50" s="31">
        <v>43589</v>
      </c>
      <c r="J50" s="2" t="str">
        <f t="shared" si="11"/>
        <v>Medium</v>
      </c>
      <c r="K50" s="2" t="str">
        <f t="shared" si="12"/>
        <v>No</v>
      </c>
      <c r="L50" s="2" t="str">
        <f t="shared" si="13"/>
        <v>No</v>
      </c>
      <c r="M50" s="31">
        <f t="shared" si="14"/>
        <v>47947.9</v>
      </c>
      <c r="N50" s="31">
        <f t="shared" si="15"/>
        <v>45768.450000000004</v>
      </c>
      <c r="O50" s="30">
        <f t="shared" si="16"/>
        <v>3</v>
      </c>
      <c r="P50" s="30">
        <f t="shared" si="17"/>
        <v>1</v>
      </c>
      <c r="Q50" s="30">
        <f t="shared" si="18"/>
        <v>2</v>
      </c>
      <c r="R50" s="30" t="str">
        <f t="shared" si="19"/>
        <v>Master</v>
      </c>
      <c r="S50" s="30" t="str">
        <f t="shared" si="20"/>
        <v>Low</v>
      </c>
      <c r="T50" s="30" t="str">
        <f t="shared" si="21"/>
        <v>Medium</v>
      </c>
      <c r="U50" s="1"/>
    </row>
    <row r="51" spans="1:21" x14ac:dyDescent="0.35">
      <c r="A51" s="2">
        <v>15</v>
      </c>
      <c r="B51" s="3" t="s">
        <v>85</v>
      </c>
      <c r="C51" s="3" t="s">
        <v>11</v>
      </c>
      <c r="D51" s="2">
        <v>15</v>
      </c>
      <c r="E51" s="2" t="s">
        <v>26</v>
      </c>
      <c r="F51" s="2">
        <v>48</v>
      </c>
      <c r="G51" s="3" t="s">
        <v>62</v>
      </c>
      <c r="H51" s="3" t="s">
        <v>80</v>
      </c>
      <c r="I51" s="31">
        <v>64790</v>
      </c>
      <c r="J51" s="2" t="str">
        <f t="shared" si="11"/>
        <v>Medium</v>
      </c>
      <c r="K51" s="2" t="str">
        <f t="shared" si="12"/>
        <v>Yes</v>
      </c>
      <c r="L51" s="2" t="str">
        <f t="shared" si="13"/>
        <v>Yes</v>
      </c>
      <c r="M51" s="31">
        <f t="shared" si="14"/>
        <v>71269</v>
      </c>
      <c r="N51" s="31">
        <f t="shared" si="15"/>
        <v>68029.5</v>
      </c>
      <c r="O51" s="30">
        <f t="shared" si="16"/>
        <v>3</v>
      </c>
      <c r="P51" s="30">
        <f t="shared" si="17"/>
        <v>3</v>
      </c>
      <c r="Q51" s="30">
        <f t="shared" si="18"/>
        <v>2</v>
      </c>
      <c r="R51" s="30" t="str">
        <f t="shared" si="19"/>
        <v>Master</v>
      </c>
      <c r="S51" s="30" t="str">
        <f t="shared" si="20"/>
        <v>High</v>
      </c>
      <c r="T51" s="30" t="str">
        <f t="shared" si="21"/>
        <v>Medium</v>
      </c>
      <c r="U51" s="1"/>
    </row>
    <row r="52" spans="1:21" x14ac:dyDescent="0.35">
      <c r="A52" s="2">
        <v>11</v>
      </c>
      <c r="B52" s="3" t="s">
        <v>81</v>
      </c>
      <c r="C52" s="3" t="s">
        <v>11</v>
      </c>
      <c r="D52" s="2">
        <v>2</v>
      </c>
      <c r="E52" s="2" t="s">
        <v>27</v>
      </c>
      <c r="F52" s="2">
        <v>32</v>
      </c>
      <c r="G52" s="3" t="s">
        <v>62</v>
      </c>
      <c r="H52" s="3" t="s">
        <v>77</v>
      </c>
      <c r="I52" s="31">
        <v>55746</v>
      </c>
      <c r="J52" s="2" t="str">
        <f t="shared" si="11"/>
        <v>Medium</v>
      </c>
      <c r="K52" s="2" t="str">
        <f t="shared" si="12"/>
        <v>No</v>
      </c>
      <c r="L52" s="2" t="str">
        <f t="shared" si="13"/>
        <v>No</v>
      </c>
      <c r="M52" s="31">
        <f t="shared" si="14"/>
        <v>61320.600000000006</v>
      </c>
      <c r="N52" s="31">
        <f t="shared" si="15"/>
        <v>58533.3</v>
      </c>
      <c r="O52" s="30">
        <f t="shared" si="16"/>
        <v>4</v>
      </c>
      <c r="P52" s="30">
        <f t="shared" si="17"/>
        <v>1</v>
      </c>
      <c r="Q52" s="30">
        <f t="shared" si="18"/>
        <v>2</v>
      </c>
      <c r="R52" s="30" t="str">
        <f t="shared" si="19"/>
        <v>PhD</v>
      </c>
      <c r="S52" s="30" t="str">
        <f t="shared" si="20"/>
        <v>Low</v>
      </c>
      <c r="T52" s="30" t="str">
        <f t="shared" si="21"/>
        <v>Medium</v>
      </c>
      <c r="U52" s="1"/>
    </row>
    <row r="53" spans="1:21" x14ac:dyDescent="0.35">
      <c r="A53" s="2">
        <v>14</v>
      </c>
      <c r="B53" s="3" t="s">
        <v>84</v>
      </c>
      <c r="C53" s="3" t="s">
        <v>11</v>
      </c>
      <c r="D53" s="2">
        <v>11</v>
      </c>
      <c r="E53" s="2" t="s">
        <v>27</v>
      </c>
      <c r="F53" s="2">
        <v>23</v>
      </c>
      <c r="G53" s="3" t="s">
        <v>62</v>
      </c>
      <c r="H53" s="3" t="s">
        <v>77</v>
      </c>
      <c r="I53" s="31">
        <v>61212</v>
      </c>
      <c r="J53" s="2" t="str">
        <f t="shared" si="11"/>
        <v>Medium</v>
      </c>
      <c r="K53" s="2" t="str">
        <f t="shared" si="12"/>
        <v>Yes</v>
      </c>
      <c r="L53" s="2" t="str">
        <f t="shared" si="13"/>
        <v>Yes</v>
      </c>
      <c r="M53" s="31">
        <f t="shared" si="14"/>
        <v>67333.200000000012</v>
      </c>
      <c r="N53" s="31">
        <f t="shared" si="15"/>
        <v>64272.600000000006</v>
      </c>
      <c r="O53" s="30">
        <f t="shared" si="16"/>
        <v>4</v>
      </c>
      <c r="P53" s="30">
        <f t="shared" si="17"/>
        <v>3</v>
      </c>
      <c r="Q53" s="30">
        <f t="shared" si="18"/>
        <v>2</v>
      </c>
      <c r="R53" s="30" t="str">
        <f t="shared" si="19"/>
        <v>PhD</v>
      </c>
      <c r="S53" s="30" t="str">
        <f t="shared" si="20"/>
        <v>High</v>
      </c>
      <c r="T53" s="30" t="str">
        <f t="shared" si="21"/>
        <v>Medium</v>
      </c>
      <c r="U53" s="1"/>
    </row>
    <row r="54" spans="1:21" x14ac:dyDescent="0.35">
      <c r="A54" s="2">
        <v>30</v>
      </c>
      <c r="B54" s="3" t="s">
        <v>100</v>
      </c>
      <c r="C54" s="3" t="s">
        <v>11</v>
      </c>
      <c r="D54" s="2">
        <v>3</v>
      </c>
      <c r="E54" s="2" t="s">
        <v>27</v>
      </c>
      <c r="F54" s="2">
        <v>54</v>
      </c>
      <c r="G54" s="3" t="s">
        <v>58</v>
      </c>
      <c r="H54" s="3" t="s">
        <v>59</v>
      </c>
      <c r="I54" s="31">
        <v>88208</v>
      </c>
      <c r="J54" s="2" t="str">
        <f t="shared" si="11"/>
        <v>High</v>
      </c>
      <c r="K54" s="2" t="str">
        <f t="shared" si="12"/>
        <v>No</v>
      </c>
      <c r="L54" s="2" t="str">
        <f t="shared" si="13"/>
        <v>Yes</v>
      </c>
      <c r="M54" s="31">
        <f t="shared" si="14"/>
        <v>97028.800000000003</v>
      </c>
      <c r="N54" s="31">
        <f t="shared" si="15"/>
        <v>92618.400000000009</v>
      </c>
      <c r="O54" s="30">
        <f t="shared" si="16"/>
        <v>4</v>
      </c>
      <c r="P54" s="30">
        <f t="shared" si="17"/>
        <v>2</v>
      </c>
      <c r="Q54" s="30">
        <f t="shared" si="18"/>
        <v>3</v>
      </c>
      <c r="R54" s="30" t="str">
        <f t="shared" si="19"/>
        <v>PhD</v>
      </c>
      <c r="S54" s="30" t="str">
        <f t="shared" si="20"/>
        <v>Medium</v>
      </c>
      <c r="T54" s="30" t="str">
        <f t="shared" si="21"/>
        <v>High</v>
      </c>
      <c r="U54" s="1"/>
    </row>
    <row r="56" spans="1:21" x14ac:dyDescent="0.35">
      <c r="B56" s="1"/>
    </row>
  </sheetData>
  <autoFilter ref="A4:T54" xr:uid="{AA9584A4-6511-4E18-8E37-3A388E842D10}">
    <sortState xmlns:xlrd2="http://schemas.microsoft.com/office/spreadsheetml/2017/richdata2" ref="A5:T54">
      <sortCondition ref="C5:C54" customList="Finance,IT,Marketing,Operations,HR"/>
      <sortCondition ref="E5:E54" customList="High School,Bachelor,Master,PhD"/>
      <sortCondition ref="G5:G54" customList="Male,Female"/>
    </sortState>
  </autoFilter>
  <mergeCells count="4">
    <mergeCell ref="V1:W1"/>
    <mergeCell ref="Y2:Z2"/>
    <mergeCell ref="AB2:AC3"/>
    <mergeCell ref="A1:T2"/>
  </mergeCells>
  <conditionalFormatting sqref="G5:G54">
    <cfRule type="cellIs" dxfId="3" priority="1" operator="equal">
      <formula>"Female"</formula>
    </cfRule>
    <cfRule type="cellIs" dxfId="2" priority="2" operator="equal">
      <formula>"Male"</formula>
    </cfRule>
  </conditionalFormatting>
  <conditionalFormatting sqref="I4:I54">
    <cfRule type="top10" dxfId="1" priority="7" percent="1" rank="10"/>
  </conditionalFormatting>
  <conditionalFormatting sqref="I5:I54">
    <cfRule type="colorScale" priority="5">
      <colorScale>
        <cfvo type="min"/>
        <cfvo type="max"/>
        <color rgb="FFFCFCFF"/>
        <color rgb="FF63BE7B"/>
      </colorScale>
    </cfRule>
    <cfRule type="expression" dxfId="0" priority="6">
      <formula>I5 &lt; AVERAGEIF($C$5:$C$54, $C5, $I$5:$I$54)</formula>
    </cfRule>
  </conditionalFormatting>
  <dataValidations count="1">
    <dataValidation type="list" allowBlank="1" showInputMessage="1" showErrorMessage="1" sqref="AC4" xr:uid="{CE666DB5-64A1-46A1-9D6B-EE0DBCECD89E}">
      <formula1>$A$5:$A$54</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F62D8D1-5EA8-479F-A540-B08266984A96}">
  <ds:schemaRefs>
    <ds:schemaRef ds:uri="http://gemini/pivotcustomization/ShowImplicitMeasures"/>
  </ds:schemaRefs>
</ds:datastoreItem>
</file>

<file path=customXml/itemProps2.xml><?xml version="1.0" encoding="utf-8"?>
<ds:datastoreItem xmlns:ds="http://schemas.openxmlformats.org/officeDocument/2006/customXml" ds:itemID="{5FCBF6B4-724D-4618-9750-08D7362A206F}">
  <ds:schemaRefs>
    <ds:schemaRef ds:uri="http://gemini/pivotcustomization/MeasureGridState"/>
  </ds:schemaRefs>
</ds:datastoreItem>
</file>

<file path=customXml/itemProps3.xml><?xml version="1.0" encoding="utf-8"?>
<ds:datastoreItem xmlns:ds="http://schemas.openxmlformats.org/officeDocument/2006/customXml" ds:itemID="{734ED224-AF30-4A9F-AE28-A58287236840}">
  <ds:schemaRefs>
    <ds:schemaRef ds:uri="http://gemini/pivotcustomization/TableOrder"/>
  </ds:schemaRefs>
</ds:datastoreItem>
</file>

<file path=customXml/itemProps4.xml><?xml version="1.0" encoding="utf-8"?>
<ds:datastoreItem xmlns:ds="http://schemas.openxmlformats.org/officeDocument/2006/customXml" ds:itemID="{BB65FFF8-4BA6-443E-9CC3-3481ED3A1D0A}">
  <ds:schemaRefs>
    <ds:schemaRef ds:uri="http://gemini/pivotcustomization/FormulaBarState"/>
  </ds:schemaRefs>
</ds:datastoreItem>
</file>

<file path=customXml/itemProps5.xml><?xml version="1.0" encoding="utf-8"?>
<ds:datastoreItem xmlns:ds="http://schemas.openxmlformats.org/officeDocument/2006/customXml" ds:itemID="{8CAEA8B3-62C6-40A0-9B95-6F411E22037C}">
  <ds:schemaRefs>
    <ds:schemaRef ds:uri="http://gemini/pivotcustomization/LinkedTableUpdateMode"/>
  </ds:schemaRefs>
</ds:datastoreItem>
</file>

<file path=customXml/itemProps6.xml><?xml version="1.0" encoding="utf-8"?>
<ds:datastoreItem xmlns:ds="http://schemas.openxmlformats.org/officeDocument/2006/customXml" ds:itemID="{BD64CA44-F81F-43FD-ABE9-67C346FD4CF9}">
  <ds:schemaRefs>
    <ds:schemaRef ds:uri="http://gemini/pivotcustomization/TableXML_Table1"/>
  </ds:schemaRefs>
</ds:datastoreItem>
</file>

<file path=customXml/itemProps7.xml><?xml version="1.0" encoding="utf-8"?>
<ds:datastoreItem xmlns:ds="http://schemas.openxmlformats.org/officeDocument/2006/customXml" ds:itemID="{5E775099-8115-40AC-B540-336F65D9B19D}">
  <ds:schemaRefs>
    <ds:schemaRef ds:uri="http://gemini/pivotcustomization/TableWidget"/>
  </ds:schemaRefs>
</ds:datastoreItem>
</file>

<file path=customXml/itemProps8.xml><?xml version="1.0" encoding="utf-8"?>
<ds:datastoreItem xmlns:ds="http://schemas.openxmlformats.org/officeDocument/2006/customXml" ds:itemID="{ED7F90EB-D9D6-41C2-8176-0CB10A5C3AAF}">
  <ds:schemaRefs>
    <ds:schemaRef ds:uri="http://gemini/pivotcustomization/ShowHidden"/>
  </ds:schemaRefs>
</ds:datastoreItem>
</file>

<file path=customXml/itemProps9.xml><?xml version="1.0" encoding="utf-8"?>
<ds:datastoreItem xmlns:ds="http://schemas.openxmlformats.org/officeDocument/2006/customXml" ds:itemID="{6BC754ED-B0CF-4523-9A7D-1EBD875272F4}">
  <ds:schemaRefs>
    <ds:schemaRef ds:uri="http://gemini/pivotcustomization/ManualCalcMode"/>
  </ds:schemaRefs>
</ds:datastoreItem>
</file>

<file path=customXml/itemProps10.xml><?xml version="1.0" encoding="utf-8"?>
<ds:datastoreItem xmlns:ds="http://schemas.openxmlformats.org/officeDocument/2006/customXml" ds:itemID="{A0D5EF71-7FEB-46EB-A5DE-A91569908DFB}">
  <ds:schemaRefs>
    <ds:schemaRef ds:uri="http://gemini/pivotcustomization/Diagrams"/>
  </ds:schemaRefs>
</ds:datastoreItem>
</file>

<file path=customXml/itemProps11.xml><?xml version="1.0" encoding="utf-8"?>
<ds:datastoreItem xmlns:ds="http://schemas.openxmlformats.org/officeDocument/2006/customXml" ds:itemID="{0AFEC183-3B1F-4B45-A596-0AD7CA320B31}">
  <ds:schemaRefs>
    <ds:schemaRef ds:uri="http://gemini/pivotcustomization/ClientWindowXML"/>
  </ds:schemaRefs>
</ds:datastoreItem>
</file>

<file path=customXml/itemProps12.xml><?xml version="1.0" encoding="utf-8"?>
<ds:datastoreItem xmlns:ds="http://schemas.openxmlformats.org/officeDocument/2006/customXml" ds:itemID="{1246536F-0EDB-4C05-9550-8C545A769D43}">
  <ds:schemaRefs/>
</ds:datastoreItem>
</file>

<file path=customXml/itemProps13.xml><?xml version="1.0" encoding="utf-8"?>
<ds:datastoreItem xmlns:ds="http://schemas.openxmlformats.org/officeDocument/2006/customXml" ds:itemID="{6CB0ED3F-6D2D-4733-A2E1-80A7C579FA84}">
  <ds:schemaRefs/>
</ds:datastoreItem>
</file>

<file path=customXml/itemProps14.xml><?xml version="1.0" encoding="utf-8"?>
<ds:datastoreItem xmlns:ds="http://schemas.openxmlformats.org/officeDocument/2006/customXml" ds:itemID="{A51ABD6D-CAF6-43B6-8390-C8181A90F72C}">
  <ds:schemaRefs/>
</ds:datastoreItem>
</file>

<file path=customXml/itemProps15.xml><?xml version="1.0" encoding="utf-8"?>
<ds:datastoreItem xmlns:ds="http://schemas.openxmlformats.org/officeDocument/2006/customXml" ds:itemID="{DF7883CB-2E56-4614-85F2-4E0791B35CD1}">
  <ds:schemaRefs/>
</ds:datastoreItem>
</file>

<file path=customXml/itemProps16.xml><?xml version="1.0" encoding="utf-8"?>
<ds:datastoreItem xmlns:ds="http://schemas.openxmlformats.org/officeDocument/2006/customXml" ds:itemID="{EC830723-6E43-46A9-9AA0-C725E1E5AD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Growth Impact of Each Dept</vt:lpstr>
      <vt:lpstr>Pivot Table</vt:lpstr>
      <vt:lpstr>employee_salary_dataset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Riya Patil</dc:creator>
  <cp:keywords/>
  <dc:description/>
  <cp:lastModifiedBy>Riya Patil</cp:lastModifiedBy>
  <cp:revision/>
  <dcterms:created xsi:type="dcterms:W3CDTF">2025-12-13T09:11:39Z</dcterms:created>
  <dcterms:modified xsi:type="dcterms:W3CDTF">2026-01-01T14:09:21Z</dcterms:modified>
  <cp:category/>
  <cp:contentStatus/>
</cp:coreProperties>
</file>